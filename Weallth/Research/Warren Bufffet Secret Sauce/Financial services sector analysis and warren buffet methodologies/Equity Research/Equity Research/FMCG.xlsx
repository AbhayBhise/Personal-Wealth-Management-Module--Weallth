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PNG " sheetId="1" r:id="rId1"/>
    <sheet name="Compiled Data" sheetId="11" r:id="rId2"/>
    <sheet name="Final Graph" sheetId="14" r:id="rId3"/>
    <sheet name="Nestle" sheetId="2" r:id="rId4"/>
    <sheet name="HUL" sheetId="6" r:id="rId5"/>
    <sheet name="ITC" sheetId="12" r:id="rId6"/>
  </sheets>
  <calcPr calcId="152511"/>
</workbook>
</file>

<file path=xl/calcChain.xml><?xml version="1.0" encoding="utf-8"?>
<calcChain xmlns="http://schemas.openxmlformats.org/spreadsheetml/2006/main">
  <c r="C122" i="11" l="1"/>
  <c r="D122" i="11"/>
  <c r="E122" i="11"/>
  <c r="F122" i="11"/>
  <c r="C118" i="11"/>
  <c r="D118" i="11"/>
  <c r="E118" i="11"/>
  <c r="F118" i="11"/>
  <c r="E119" i="11" s="1"/>
  <c r="H119" i="11" s="1"/>
  <c r="C114" i="11"/>
  <c r="D114" i="11"/>
  <c r="E114" i="11"/>
  <c r="F114" i="11"/>
  <c r="C110" i="11"/>
  <c r="D110" i="11"/>
  <c r="E110" i="11"/>
  <c r="F110" i="11"/>
  <c r="E111" i="11" s="1"/>
  <c r="H111" i="11" s="1"/>
  <c r="C123" i="11"/>
  <c r="D123" i="11"/>
  <c r="E123" i="11"/>
  <c r="F123" i="11"/>
  <c r="H123" i="11" s="1"/>
  <c r="C119" i="11"/>
  <c r="D119" i="11"/>
  <c r="F119" i="11"/>
  <c r="C115" i="11"/>
  <c r="D115" i="11"/>
  <c r="E115" i="11"/>
  <c r="H115" i="11" s="1"/>
  <c r="F115" i="11"/>
  <c r="C111" i="11"/>
  <c r="D111" i="11"/>
  <c r="F111" i="11"/>
  <c r="C88" i="11"/>
  <c r="D88" i="11"/>
  <c r="E88" i="11"/>
  <c r="F88" i="11"/>
  <c r="C84" i="11"/>
  <c r="D84" i="11"/>
  <c r="E84" i="11"/>
  <c r="F84" i="11"/>
  <c r="E85" i="11" s="1"/>
  <c r="H85" i="11" s="1"/>
  <c r="C80" i="11"/>
  <c r="D80" i="11"/>
  <c r="E80" i="11"/>
  <c r="F80" i="11"/>
  <c r="E81" i="11" s="1"/>
  <c r="H81" i="11" s="1"/>
  <c r="C76" i="11"/>
  <c r="D76" i="11"/>
  <c r="E76" i="11"/>
  <c r="F76" i="11"/>
  <c r="E77" i="11" s="1"/>
  <c r="H77" i="11" s="1"/>
  <c r="C89" i="11"/>
  <c r="D89" i="11"/>
  <c r="E89" i="11"/>
  <c r="H89" i="11" s="1"/>
  <c r="F89" i="11"/>
  <c r="C85" i="11"/>
  <c r="D85" i="11"/>
  <c r="F85" i="11"/>
  <c r="C81" i="11"/>
  <c r="D81" i="11"/>
  <c r="F81" i="11"/>
  <c r="C77" i="11"/>
  <c r="D77" i="11"/>
  <c r="F77" i="11"/>
  <c r="C53" i="11"/>
  <c r="D53" i="11"/>
  <c r="C54" i="11" s="1"/>
  <c r="E53" i="11"/>
  <c r="F53" i="11"/>
  <c r="E54" i="11" s="1"/>
  <c r="C49" i="11"/>
  <c r="D49" i="11"/>
  <c r="C50" i="11" s="1"/>
  <c r="E49" i="11"/>
  <c r="F49" i="11"/>
  <c r="E50" i="11" s="1"/>
  <c r="C45" i="11"/>
  <c r="D45" i="11"/>
  <c r="E45" i="11"/>
  <c r="F45" i="11"/>
  <c r="E41" i="11"/>
  <c r="C41" i="11"/>
  <c r="D41" i="11"/>
  <c r="F41" i="11"/>
  <c r="E42" i="11" s="1"/>
  <c r="H42" i="11" s="1"/>
  <c r="D54" i="11"/>
  <c r="F54" i="11"/>
  <c r="D50" i="11"/>
  <c r="F50" i="11"/>
  <c r="C46" i="11"/>
  <c r="D46" i="11"/>
  <c r="E46" i="11"/>
  <c r="H46" i="11" s="1"/>
  <c r="F46" i="11"/>
  <c r="C42" i="11"/>
  <c r="D42" i="11"/>
  <c r="F42" i="11"/>
  <c r="H18" i="11"/>
  <c r="H14" i="11"/>
  <c r="H10" i="11"/>
  <c r="H6" i="11"/>
  <c r="C18" i="11"/>
  <c r="D18" i="11"/>
  <c r="E18" i="11"/>
  <c r="F18" i="11"/>
  <c r="C17" i="11"/>
  <c r="D17" i="11"/>
  <c r="E17" i="11"/>
  <c r="F17" i="11"/>
  <c r="C14" i="11"/>
  <c r="D14" i="11"/>
  <c r="E14" i="11"/>
  <c r="F14" i="11"/>
  <c r="C13" i="11"/>
  <c r="D13" i="11"/>
  <c r="E13" i="11"/>
  <c r="F13" i="11"/>
  <c r="C10" i="11"/>
  <c r="D10" i="11"/>
  <c r="E10" i="11"/>
  <c r="F10" i="11"/>
  <c r="C9" i="11"/>
  <c r="D9" i="11"/>
  <c r="E9" i="11"/>
  <c r="F9" i="11"/>
  <c r="C5" i="11"/>
  <c r="E5" i="11"/>
  <c r="D5" i="11"/>
  <c r="D6" i="11" s="1"/>
  <c r="F5" i="11"/>
  <c r="F6" i="11" s="1"/>
  <c r="H54" i="11" l="1"/>
  <c r="H50" i="11"/>
  <c r="E6" i="11"/>
  <c r="C6" i="11"/>
</calcChain>
</file>

<file path=xl/sharedStrings.xml><?xml version="1.0" encoding="utf-8"?>
<sst xmlns="http://schemas.openxmlformats.org/spreadsheetml/2006/main" count="437" uniqueCount="124">
  <si>
    <t>12 mths</t>
  </si>
  <si>
    <t>EQUITIES AND LIABILITIES</t>
  </si>
  <si>
    <t>SHAREHOLDER'S FUNDS</t>
  </si>
  <si>
    <t>Equity Share Capital</t>
  </si>
  <si>
    <t>Total Share Capital</t>
  </si>
  <si>
    <t>Reserves and Surplus</t>
  </si>
  <si>
    <t>Total Reserves and Surplus</t>
  </si>
  <si>
    <t>Total Shareholders Funds</t>
  </si>
  <si>
    <t>NON-CURRENT LIABILITIES</t>
  </si>
  <si>
    <t>Other Long Term Liabilities</t>
  </si>
  <si>
    <t>Long Term Provisions</t>
  </si>
  <si>
    <t>Total Non-Current Liabilities</t>
  </si>
  <si>
    <t>CURRENT LIABILITIES</t>
  </si>
  <si>
    <t>Trade Payables</t>
  </si>
  <si>
    <t>Other Current Liabilities</t>
  </si>
  <si>
    <t>Short Term Provisions</t>
  </si>
  <si>
    <t>Total Current Liabilities</t>
  </si>
  <si>
    <t>Total Capital And Liabilities</t>
  </si>
  <si>
    <t>ASSETS</t>
  </si>
  <si>
    <t>NON-CURRENT ASSETS</t>
  </si>
  <si>
    <t>Tangible Assets</t>
  </si>
  <si>
    <t>Capital Work-In-Progress</t>
  </si>
  <si>
    <t>Fixed Assets</t>
  </si>
  <si>
    <t>Deferred Tax Assets [Net]</t>
  </si>
  <si>
    <t>Long Term Loans And Advances</t>
  </si>
  <si>
    <t>Other Non-Current Assets</t>
  </si>
  <si>
    <t>Total Non-Current Assets</t>
  </si>
  <si>
    <t>CURRENT ASSETS</t>
  </si>
  <si>
    <t>Inventories</t>
  </si>
  <si>
    <t>Trade Receivables</t>
  </si>
  <si>
    <t>Cash And Cash Equivalents</t>
  </si>
  <si>
    <t>Short Term Loans And Advances</t>
  </si>
  <si>
    <t>OtherCurrentAssets</t>
  </si>
  <si>
    <t>Total Current Assets</t>
  </si>
  <si>
    <t>Total Assets</t>
  </si>
  <si>
    <t>BALANCE SHEET</t>
  </si>
  <si>
    <t>Rs(in Crs)</t>
  </si>
  <si>
    <t>INCOME</t>
  </si>
  <si>
    <t>Revenue From Operations [Gross]</t>
  </si>
  <si>
    <t>Less: Excise/Sevice Tax/Other Levies</t>
  </si>
  <si>
    <t>Revenue From Operations [Net]</t>
  </si>
  <si>
    <t>Other Operating Revenues</t>
  </si>
  <si>
    <t>Total Operating Revenues</t>
  </si>
  <si>
    <t>Other Income</t>
  </si>
  <si>
    <t>Total Revenue</t>
  </si>
  <si>
    <t>EXPENSES</t>
  </si>
  <si>
    <t>Cost Of Materials Consumed</t>
  </si>
  <si>
    <t>Purchase Of Stock-In Trade</t>
  </si>
  <si>
    <t>Changes In Inventories Of FG,WIP And Stock-In Trade</t>
  </si>
  <si>
    <t>Employee Benefit Expenses</t>
  </si>
  <si>
    <t>Finance Costs</t>
  </si>
  <si>
    <t>Depreciation And Amortisation Expenses</t>
  </si>
  <si>
    <t>Other Expenses</t>
  </si>
  <si>
    <t>Total Expenses</t>
  </si>
  <si>
    <t>Profit And Loss</t>
  </si>
  <si>
    <t>Basic EPS (Rs.)</t>
  </si>
  <si>
    <t>Net Profit Margin (%)</t>
  </si>
  <si>
    <t>Inventory Turnover Ratio (X)</t>
  </si>
  <si>
    <t>Dividend Payout Ratio (NP) (%)</t>
  </si>
  <si>
    <t>Earnings Retention Ratio (%)</t>
  </si>
  <si>
    <t>Debt -Equity Ratio</t>
  </si>
  <si>
    <t>Return On Equity (%)</t>
  </si>
  <si>
    <t>Efficiency Ratios</t>
  </si>
  <si>
    <t>Days Inventory</t>
  </si>
  <si>
    <t>Payables Period</t>
  </si>
  <si>
    <t>Cash Conversion Cycle</t>
  </si>
  <si>
    <t>Receivables Turnover</t>
  </si>
  <si>
    <t>Inventory Turnover</t>
  </si>
  <si>
    <t>Fixed Assets Turnover</t>
  </si>
  <si>
    <t>Asset Turnover</t>
  </si>
  <si>
    <t>Days Sales Outstanding</t>
  </si>
  <si>
    <t>Long Term Borrowings</t>
  </si>
  <si>
    <t>Deferred Tax Liabilities [Net]</t>
  </si>
  <si>
    <t>Short Term Borrowings</t>
  </si>
  <si>
    <t>Non-Current Investments</t>
  </si>
  <si>
    <t>Current Investments</t>
  </si>
  <si>
    <t>Balance Sheet</t>
  </si>
  <si>
    <t>Provsions and Contingencies</t>
  </si>
  <si>
    <t>Profit and Loss</t>
  </si>
  <si>
    <t>Total Debt/Equity (X)</t>
  </si>
  <si>
    <t>Return on Networth / Equity (%)</t>
  </si>
  <si>
    <t>—</t>
  </si>
  <si>
    <t>Intangible Assets</t>
  </si>
  <si>
    <t>Revaluation Reserves</t>
  </si>
  <si>
    <t>Intangible Assets Under Development</t>
  </si>
  <si>
    <t>Efficiency Ratio</t>
  </si>
  <si>
    <t>2012-03</t>
  </si>
  <si>
    <t>2013-03</t>
  </si>
  <si>
    <t>2014-03</t>
  </si>
  <si>
    <t>2015-03</t>
  </si>
  <si>
    <t>2016-03</t>
  </si>
  <si>
    <t>0.004:1</t>
  </si>
  <si>
    <t>0.003:1</t>
  </si>
  <si>
    <t>0.002:1</t>
  </si>
  <si>
    <t>0.001:1</t>
  </si>
  <si>
    <t>Debt Equity Ratio</t>
  </si>
  <si>
    <t>EPS</t>
  </si>
  <si>
    <t>PNG</t>
  </si>
  <si>
    <t>NESTLE</t>
  </si>
  <si>
    <t>HUL</t>
  </si>
  <si>
    <t>ITC</t>
  </si>
  <si>
    <t>Less: Excise/Service Tax/Other Levies</t>
  </si>
  <si>
    <t>% Change</t>
  </si>
  <si>
    <t>DIVIDEND PAYOUT</t>
  </si>
  <si>
    <t>ROE</t>
  </si>
  <si>
    <t>NP MARGIN</t>
  </si>
  <si>
    <t>Market cap</t>
  </si>
  <si>
    <t>P/E</t>
  </si>
  <si>
    <t>Industry P/E</t>
  </si>
  <si>
    <t>Dividend Yield</t>
  </si>
  <si>
    <t>Debt Equity</t>
  </si>
  <si>
    <t>Return on Equity</t>
  </si>
  <si>
    <t>Price to Book</t>
  </si>
  <si>
    <t>Rs 3,39,155 Cr (Large Cap)</t>
  </si>
  <si>
    <t>Rs 60,079 Cr (Large Cap)</t>
  </si>
  <si>
    <t>Rs 23,696 Cr (Large Cap)</t>
  </si>
  <si>
    <t>Rs 1,97,973 Cr (Large Cap)</t>
  </si>
  <si>
    <t>Comment</t>
  </si>
  <si>
    <t>ITC has least PE ratio so it is good to invest in it.</t>
  </si>
  <si>
    <t>As per Industry also investing in ITC is good</t>
  </si>
  <si>
    <t>As the payout ratio of PNG is less so its good to invest in the stocks for long term purpose only.</t>
  </si>
  <si>
    <t>HUL ROE is more so its good stock to invest</t>
  </si>
  <si>
    <t>As market value of HUL is more so its good to invest.</t>
  </si>
  <si>
    <t>The ratio is 0 in ITC and PNG which means that the companyhavent utilized the financial sources which is not good for the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</si>
</sst>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3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1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5" fillId="2" borderId="0" xfId="0" applyFont="1" applyFill="1" applyBorder="1" applyAlignment="1">
      <alignment horizontal="center" vertical="center" wrapText="1"/>
    </xf>
    <xf numFmtId="17" fontId="1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5" fillId="2" borderId="4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8" fillId="0" borderId="0" xfId="1" applyAlignment="1">
      <alignment vertical="center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PNG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'Compiled Data'!$C$2:$G$2</c:f>
              <c:numCache>
                <c:formatCode>General</c:formatCode>
                <c:ptCount val="5"/>
                <c:pt idx="0">
                  <c:v>2016</c:v>
                </c:pt>
                <c:pt idx="1">
                  <c:v>2015</c:v>
                </c:pt>
                <c:pt idx="2">
                  <c:v>2014</c:v>
                </c:pt>
                <c:pt idx="3">
                  <c:v>2013</c:v>
                </c:pt>
                <c:pt idx="4">
                  <c:v>2012</c:v>
                </c:pt>
              </c:numCache>
            </c:numRef>
          </c:cat>
          <c:val>
            <c:numRef>
              <c:f>'Compiled Data'!$C$6:$G$6</c:f>
              <c:numCache>
                <c:formatCode>General</c:formatCode>
                <c:ptCount val="5"/>
                <c:pt idx="0">
                  <c:v>42.506714413607909</c:v>
                </c:pt>
                <c:pt idx="1">
                  <c:v>24.333034914950744</c:v>
                </c:pt>
                <c:pt idx="2">
                  <c:v>54.485228290062679</c:v>
                </c:pt>
                <c:pt idx="3">
                  <c:v>12.103849597135181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605081568"/>
        <c:axId val="-605073408"/>
      </c:barChart>
      <c:catAx>
        <c:axId val="-605081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years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6992935258092738"/>
              <c:y val="0.884328521434820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05073408"/>
        <c:crosses val="autoZero"/>
        <c:auto val="1"/>
        <c:lblAlgn val="ctr"/>
        <c:lblOffset val="100"/>
        <c:noMultiLvlLbl val="0"/>
      </c:catAx>
      <c:valAx>
        <c:axId val="-60507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EPS Change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0508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Nestle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'Compiled Data'!$C$2:$G$2</c:f>
              <c:numCache>
                <c:formatCode>General</c:formatCode>
                <c:ptCount val="5"/>
                <c:pt idx="0">
                  <c:v>2016</c:v>
                </c:pt>
                <c:pt idx="1">
                  <c:v>2015</c:v>
                </c:pt>
                <c:pt idx="2">
                  <c:v>2014</c:v>
                </c:pt>
                <c:pt idx="3">
                  <c:v>2013</c:v>
                </c:pt>
                <c:pt idx="4">
                  <c:v>2012</c:v>
                </c:pt>
              </c:numCache>
            </c:numRef>
          </c:cat>
          <c:val>
            <c:numRef>
              <c:f>'Compiled Data'!$C$10:$G$10</c:f>
              <c:numCache>
                <c:formatCode>General</c:formatCode>
                <c:ptCount val="5"/>
                <c:pt idx="0">
                  <c:v>-64.62448611250376</c:v>
                </c:pt>
                <c:pt idx="1">
                  <c:v>7.0189511681540147</c:v>
                </c:pt>
                <c:pt idx="2">
                  <c:v>5.1238343527524322</c:v>
                </c:pt>
                <c:pt idx="3">
                  <c:v>11.059861626391257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605076672"/>
        <c:axId val="-801671600"/>
      </c:barChart>
      <c:catAx>
        <c:axId val="-605076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Years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01671600"/>
        <c:crosses val="autoZero"/>
        <c:auto val="1"/>
        <c:lblAlgn val="ctr"/>
        <c:lblOffset val="100"/>
        <c:noMultiLvlLbl val="0"/>
      </c:catAx>
      <c:valAx>
        <c:axId val="-80167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EPS Change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0507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HUL</a:t>
            </a:r>
          </a:p>
        </c:rich>
      </c:tx>
      <c:layout>
        <c:manualLayout>
          <c:xMode val="edge"/>
          <c:yMode val="edge"/>
          <c:x val="0.4094930008748907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'Compiled Data'!$C$2:$G$2</c:f>
              <c:numCache>
                <c:formatCode>General</c:formatCode>
                <c:ptCount val="5"/>
                <c:pt idx="0">
                  <c:v>2016</c:v>
                </c:pt>
                <c:pt idx="1">
                  <c:v>2015</c:v>
                </c:pt>
                <c:pt idx="2">
                  <c:v>2014</c:v>
                </c:pt>
                <c:pt idx="3">
                  <c:v>2013</c:v>
                </c:pt>
                <c:pt idx="4">
                  <c:v>2012</c:v>
                </c:pt>
              </c:numCache>
            </c:numRef>
          </c:cat>
          <c:val>
            <c:numRef>
              <c:f>'Compiled Data'!$C$14:$G$14</c:f>
              <c:numCache>
                <c:formatCode>General</c:formatCode>
                <c:ptCount val="5"/>
                <c:pt idx="0">
                  <c:v>-8.6677367576243753</c:v>
                </c:pt>
                <c:pt idx="1">
                  <c:v>16.613162118780096</c:v>
                </c:pt>
                <c:pt idx="2">
                  <c:v>2.5682182985553794</c:v>
                </c:pt>
                <c:pt idx="3">
                  <c:v>40.930979133226302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458869824"/>
        <c:axId val="-458868736"/>
      </c:barChart>
      <c:catAx>
        <c:axId val="-458869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Years</a:t>
                </a:r>
              </a:p>
            </c:rich>
          </c:tx>
          <c:layout>
            <c:manualLayout>
              <c:xMode val="edge"/>
              <c:yMode val="edge"/>
              <c:x val="0.48688779527559056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58868736"/>
        <c:crosses val="autoZero"/>
        <c:auto val="1"/>
        <c:lblAlgn val="ctr"/>
        <c:lblOffset val="100"/>
        <c:noMultiLvlLbl val="0"/>
      </c:catAx>
      <c:valAx>
        <c:axId val="-45886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EPS Change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5886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ITC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'Compiled Data'!$C$2:$G$2</c:f>
              <c:numCache>
                <c:formatCode>General</c:formatCode>
                <c:ptCount val="5"/>
                <c:pt idx="0">
                  <c:v>2016</c:v>
                </c:pt>
                <c:pt idx="1">
                  <c:v>2015</c:v>
                </c:pt>
                <c:pt idx="2">
                  <c:v>2014</c:v>
                </c:pt>
                <c:pt idx="3">
                  <c:v>2013</c:v>
                </c:pt>
                <c:pt idx="4">
                  <c:v>2012</c:v>
                </c:pt>
              </c:numCache>
            </c:numRef>
          </c:cat>
          <c:val>
            <c:numRef>
              <c:f>'Compiled Data'!$C$18:$G$18</c:f>
              <c:numCache>
                <c:formatCode>General</c:formatCode>
                <c:ptCount val="5"/>
                <c:pt idx="0">
                  <c:v>2.6481715006305109</c:v>
                </c:pt>
                <c:pt idx="1">
                  <c:v>12.105926860025228</c:v>
                </c:pt>
                <c:pt idx="2">
                  <c:v>20.680958385876426</c:v>
                </c:pt>
                <c:pt idx="3">
                  <c:v>19.167717528373263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369013488"/>
        <c:axId val="-369015120"/>
      </c:barChart>
      <c:catAx>
        <c:axId val="-369013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Years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9015120"/>
        <c:crosses val="autoZero"/>
        <c:auto val="1"/>
        <c:lblAlgn val="ctr"/>
        <c:lblOffset val="100"/>
        <c:noMultiLvlLbl val="0"/>
      </c:catAx>
      <c:valAx>
        <c:axId val="-36901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EPS Change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901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PNG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'Compiled Data'!$C$38:$G$38</c:f>
              <c:numCache>
                <c:formatCode>General</c:formatCode>
                <c:ptCount val="5"/>
                <c:pt idx="0">
                  <c:v>2016</c:v>
                </c:pt>
                <c:pt idx="1">
                  <c:v>2015</c:v>
                </c:pt>
                <c:pt idx="2">
                  <c:v>2014</c:v>
                </c:pt>
                <c:pt idx="3">
                  <c:v>2013</c:v>
                </c:pt>
                <c:pt idx="4">
                  <c:v>2012</c:v>
                </c:pt>
              </c:numCache>
            </c:numRef>
          </c:cat>
          <c:val>
            <c:numRef>
              <c:f>'Compiled Data'!$C$42:$G$42</c:f>
              <c:numCache>
                <c:formatCode>General</c:formatCode>
                <c:ptCount val="5"/>
                <c:pt idx="0">
                  <c:v>-1.8619662363455802</c:v>
                </c:pt>
                <c:pt idx="1">
                  <c:v>-2.954319761668323</c:v>
                </c:pt>
                <c:pt idx="2">
                  <c:v>-25.769612711022841</c:v>
                </c:pt>
                <c:pt idx="3">
                  <c:v>-0.86891757696127458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369014032"/>
        <c:axId val="-369012944"/>
      </c:barChart>
      <c:catAx>
        <c:axId val="-369014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Years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9012944"/>
        <c:crosses val="autoZero"/>
        <c:auto val="1"/>
        <c:lblAlgn val="ctr"/>
        <c:lblOffset val="100"/>
        <c:noMultiLvlLbl val="0"/>
      </c:catAx>
      <c:valAx>
        <c:axId val="-36901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Dividend Payout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901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Nestle</a:t>
            </a:r>
          </a:p>
        </c:rich>
      </c:tx>
      <c:layout>
        <c:manualLayout>
          <c:xMode val="edge"/>
          <c:yMode val="edge"/>
          <c:x val="0.3691874453193350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'Compiled Data'!$C$38:$G$38</c:f>
              <c:numCache>
                <c:formatCode>General</c:formatCode>
                <c:ptCount val="5"/>
                <c:pt idx="0">
                  <c:v>2016</c:v>
                </c:pt>
                <c:pt idx="1">
                  <c:v>2015</c:v>
                </c:pt>
                <c:pt idx="2">
                  <c:v>2014</c:v>
                </c:pt>
                <c:pt idx="3">
                  <c:v>2013</c:v>
                </c:pt>
                <c:pt idx="4">
                  <c:v>2012</c:v>
                </c:pt>
              </c:numCache>
            </c:numRef>
          </c:cat>
          <c:val>
            <c:numRef>
              <c:f>'Compiled Data'!$C$46:$G$46</c:f>
              <c:numCache>
                <c:formatCode>General</c:formatCode>
                <c:ptCount val="5"/>
                <c:pt idx="0">
                  <c:v>65.268352868599621</c:v>
                </c:pt>
                <c:pt idx="1">
                  <c:v>19.370758790869836</c:v>
                </c:pt>
                <c:pt idx="2">
                  <c:v>-3.9687435739255577</c:v>
                </c:pt>
                <c:pt idx="3">
                  <c:v>-9.9732675303310749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369022736"/>
        <c:axId val="-369011312"/>
      </c:barChart>
      <c:catAx>
        <c:axId val="-36902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Years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9011312"/>
        <c:crosses val="autoZero"/>
        <c:auto val="1"/>
        <c:lblAlgn val="ctr"/>
        <c:lblOffset val="100"/>
        <c:noMultiLvlLbl val="0"/>
      </c:catAx>
      <c:valAx>
        <c:axId val="-36901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Dividend</a:t>
                </a:r>
                <a:r>
                  <a:rPr lang="en-IN" sz="1200" baseline="0"/>
                  <a:t> payout</a:t>
                </a:r>
                <a:endParaRPr lang="en-IN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902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HUL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'Compiled Data'!$C$38:$G$38</c:f>
              <c:numCache>
                <c:formatCode>General</c:formatCode>
                <c:ptCount val="5"/>
                <c:pt idx="0">
                  <c:v>2016</c:v>
                </c:pt>
                <c:pt idx="1">
                  <c:v>2015</c:v>
                </c:pt>
                <c:pt idx="2">
                  <c:v>2014</c:v>
                </c:pt>
                <c:pt idx="3">
                  <c:v>2013</c:v>
                </c:pt>
                <c:pt idx="4">
                  <c:v>2012</c:v>
                </c:pt>
              </c:numCache>
            </c:numRef>
          </c:cat>
          <c:val>
            <c:numRef>
              <c:f>'Compiled Data'!$C$50:$G$50</c:f>
              <c:numCache>
                <c:formatCode>General</c:formatCode>
                <c:ptCount val="5"/>
                <c:pt idx="0">
                  <c:v>15.941547658585176</c:v>
                </c:pt>
                <c:pt idx="1">
                  <c:v>4.1680504815675974</c:v>
                </c:pt>
                <c:pt idx="2">
                  <c:v>-54.234473596811696</c:v>
                </c:pt>
                <c:pt idx="3">
                  <c:v>74.941879774161407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369020016"/>
        <c:axId val="-369018384"/>
      </c:barChart>
      <c:catAx>
        <c:axId val="-369020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YEARS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9018384"/>
        <c:crosses val="autoZero"/>
        <c:auto val="1"/>
        <c:lblAlgn val="ctr"/>
        <c:lblOffset val="100"/>
        <c:noMultiLvlLbl val="0"/>
      </c:catAx>
      <c:valAx>
        <c:axId val="-36901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DIVIDEND PAYOUT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902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ITC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'Compiled Data'!$C$38:$G$38</c:f>
              <c:numCache>
                <c:formatCode>General</c:formatCode>
                <c:ptCount val="5"/>
                <c:pt idx="0">
                  <c:v>2016</c:v>
                </c:pt>
                <c:pt idx="1">
                  <c:v>2015</c:v>
                </c:pt>
                <c:pt idx="2">
                  <c:v>2014</c:v>
                </c:pt>
                <c:pt idx="3">
                  <c:v>2013</c:v>
                </c:pt>
                <c:pt idx="4">
                  <c:v>2012</c:v>
                </c:pt>
              </c:numCache>
            </c:numRef>
          </c:cat>
          <c:val>
            <c:numRef>
              <c:f>'Compiled Data'!$C$54:$G$54</c:f>
              <c:numCache>
                <c:formatCode>General</c:formatCode>
                <c:ptCount val="5"/>
                <c:pt idx="0">
                  <c:v>30.373095112979506</c:v>
                </c:pt>
                <c:pt idx="1">
                  <c:v>-3.8010159397442651</c:v>
                </c:pt>
                <c:pt idx="2">
                  <c:v>-2.8201086004554203</c:v>
                </c:pt>
                <c:pt idx="3">
                  <c:v>-2.0493956910141908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369009136"/>
        <c:axId val="-369008592"/>
      </c:barChart>
      <c:catAx>
        <c:axId val="-369009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YEARS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9008592"/>
        <c:crosses val="autoZero"/>
        <c:auto val="1"/>
        <c:lblAlgn val="ctr"/>
        <c:lblOffset val="100"/>
        <c:noMultiLvlLbl val="0"/>
      </c:catAx>
      <c:valAx>
        <c:axId val="-36900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DIVIDEND PAYOUT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900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PNG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'Compiled Data'!$C$73:$G$73</c:f>
              <c:numCache>
                <c:formatCode>General</c:formatCode>
                <c:ptCount val="5"/>
                <c:pt idx="0">
                  <c:v>2016</c:v>
                </c:pt>
                <c:pt idx="1">
                  <c:v>2015</c:v>
                </c:pt>
                <c:pt idx="2">
                  <c:v>2014</c:v>
                </c:pt>
                <c:pt idx="3">
                  <c:v>2013</c:v>
                </c:pt>
                <c:pt idx="4">
                  <c:v>2012</c:v>
                </c:pt>
              </c:numCache>
            </c:numRef>
          </c:cat>
          <c:val>
            <c:numRef>
              <c:f>'Compiled Data'!$C$77:$G$77</c:f>
              <c:numCache>
                <c:formatCode>General</c:formatCode>
                <c:ptCount val="5"/>
                <c:pt idx="0">
                  <c:v>42.647058823529406</c:v>
                </c:pt>
                <c:pt idx="1">
                  <c:v>-39.215686274509807</c:v>
                </c:pt>
                <c:pt idx="2">
                  <c:v>-1.65441176470588</c:v>
                </c:pt>
                <c:pt idx="3">
                  <c:v>5.0245098039215703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369007504"/>
        <c:axId val="-369022192"/>
      </c:barChart>
      <c:catAx>
        <c:axId val="-369007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YEARS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9022192"/>
        <c:crosses val="autoZero"/>
        <c:auto val="1"/>
        <c:lblAlgn val="ctr"/>
        <c:lblOffset val="100"/>
        <c:noMultiLvlLbl val="0"/>
      </c:catAx>
      <c:valAx>
        <c:axId val="-36902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ROE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900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NESTLE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'Compiled Data'!$C$73:$G$73</c:f>
              <c:numCache>
                <c:formatCode>General</c:formatCode>
                <c:ptCount val="5"/>
                <c:pt idx="0">
                  <c:v>2016</c:v>
                </c:pt>
                <c:pt idx="1">
                  <c:v>2015</c:v>
                </c:pt>
                <c:pt idx="2">
                  <c:v>2014</c:v>
                </c:pt>
                <c:pt idx="3">
                  <c:v>2013</c:v>
                </c:pt>
                <c:pt idx="4">
                  <c:v>2012</c:v>
                </c:pt>
              </c:numCache>
            </c:numRef>
          </c:cat>
          <c:val>
            <c:numRef>
              <c:f>'Compiled Data'!$C$81:$G$81</c:f>
              <c:numCache>
                <c:formatCode>General</c:formatCode>
                <c:ptCount val="5"/>
                <c:pt idx="0">
                  <c:v>-28.845899032728219</c:v>
                </c:pt>
                <c:pt idx="1">
                  <c:v>-7.1684112892540099</c:v>
                </c:pt>
                <c:pt idx="2">
                  <c:v>-16.191864316947139</c:v>
                </c:pt>
                <c:pt idx="3">
                  <c:v>-21.319729693918106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369020560"/>
        <c:axId val="-369017840"/>
      </c:barChart>
      <c:catAx>
        <c:axId val="-369020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YEARS</a:t>
                </a:r>
              </a:p>
            </c:rich>
          </c:tx>
          <c:layout>
            <c:manualLayout>
              <c:xMode val="edge"/>
              <c:yMode val="edge"/>
              <c:x val="0.48764479440069991"/>
              <c:y val="0.884328521434820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9017840"/>
        <c:crosses val="autoZero"/>
        <c:auto val="1"/>
        <c:lblAlgn val="ctr"/>
        <c:lblOffset val="100"/>
        <c:noMultiLvlLbl val="0"/>
      </c:catAx>
      <c:valAx>
        <c:axId val="-36901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ROE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902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HUL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'Compiled Data'!$C$73:$G$73</c:f>
              <c:numCache>
                <c:formatCode>General</c:formatCode>
                <c:ptCount val="5"/>
                <c:pt idx="0">
                  <c:v>2016</c:v>
                </c:pt>
                <c:pt idx="1">
                  <c:v>2015</c:v>
                </c:pt>
                <c:pt idx="2">
                  <c:v>2014</c:v>
                </c:pt>
                <c:pt idx="3">
                  <c:v>2013</c:v>
                </c:pt>
                <c:pt idx="4">
                  <c:v>2012</c:v>
                </c:pt>
              </c:numCache>
            </c:numRef>
          </c:cat>
          <c:val>
            <c:numRef>
              <c:f>'Compiled Data'!$C$85:$G$85</c:f>
              <c:numCache>
                <c:formatCode>General</c:formatCode>
                <c:ptCount val="5"/>
                <c:pt idx="0">
                  <c:v>-6.7084312190028683</c:v>
                </c:pt>
                <c:pt idx="1">
                  <c:v>-2.8321587052988804</c:v>
                </c:pt>
                <c:pt idx="2">
                  <c:v>-31.28425998433827</c:v>
                </c:pt>
                <c:pt idx="3">
                  <c:v>85.343252414513159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362635328"/>
        <c:axId val="-362628800"/>
      </c:barChart>
      <c:catAx>
        <c:axId val="-36263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YEARS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2628800"/>
        <c:crosses val="autoZero"/>
        <c:auto val="1"/>
        <c:lblAlgn val="ctr"/>
        <c:lblOffset val="100"/>
        <c:noMultiLvlLbl val="0"/>
      </c:catAx>
      <c:valAx>
        <c:axId val="-36262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ROE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263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ITC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'Compiled Data'!$C$73:$G$73</c:f>
              <c:numCache>
                <c:formatCode>General</c:formatCode>
                <c:ptCount val="5"/>
                <c:pt idx="0">
                  <c:v>2016</c:v>
                </c:pt>
                <c:pt idx="1">
                  <c:v>2015</c:v>
                </c:pt>
                <c:pt idx="2">
                  <c:v>2014</c:v>
                </c:pt>
                <c:pt idx="3">
                  <c:v>2013</c:v>
                </c:pt>
                <c:pt idx="4">
                  <c:v>2012</c:v>
                </c:pt>
              </c:numCache>
            </c:numRef>
          </c:cat>
          <c:val>
            <c:numRef>
              <c:f>'Compiled Data'!$C$89:$G$89</c:f>
              <c:numCache>
                <c:formatCode>General</c:formatCode>
                <c:ptCount val="5"/>
                <c:pt idx="0">
                  <c:v>-4.1666666666666581</c:v>
                </c:pt>
                <c:pt idx="1">
                  <c:v>-6.6909975669099726</c:v>
                </c:pt>
                <c:pt idx="2">
                  <c:v>0.45620437956203919</c:v>
                </c:pt>
                <c:pt idx="3">
                  <c:v>1.4598540145985306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362636416"/>
        <c:axId val="-362635872"/>
      </c:barChart>
      <c:catAx>
        <c:axId val="-362636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YEARS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2635872"/>
        <c:crosses val="autoZero"/>
        <c:auto val="1"/>
        <c:lblAlgn val="ctr"/>
        <c:lblOffset val="100"/>
        <c:noMultiLvlLbl val="0"/>
      </c:catAx>
      <c:valAx>
        <c:axId val="-36263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ROE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263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PNG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'Compiled Data'!$C$107:$G$107</c:f>
              <c:numCache>
                <c:formatCode>General</c:formatCode>
                <c:ptCount val="5"/>
                <c:pt idx="0">
                  <c:v>2016</c:v>
                </c:pt>
                <c:pt idx="1">
                  <c:v>2015</c:v>
                </c:pt>
                <c:pt idx="2">
                  <c:v>2014</c:v>
                </c:pt>
                <c:pt idx="3">
                  <c:v>2013</c:v>
                </c:pt>
                <c:pt idx="4">
                  <c:v>2012</c:v>
                </c:pt>
              </c:numCache>
            </c:numRef>
          </c:cat>
          <c:val>
            <c:numRef>
              <c:f>'Compiled Data'!$C$111:$G$111</c:f>
              <c:numCache>
                <c:formatCode>General</c:formatCode>
                <c:ptCount val="5"/>
                <c:pt idx="0">
                  <c:v>15.748031496063</c:v>
                </c:pt>
                <c:pt idx="1">
                  <c:v>0.78740157480314554</c:v>
                </c:pt>
                <c:pt idx="2">
                  <c:v>19.183965640658567</c:v>
                </c:pt>
                <c:pt idx="3">
                  <c:v>-13.815318539728001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362638592"/>
        <c:axId val="-362644032"/>
      </c:barChart>
      <c:catAx>
        <c:axId val="-362638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YEARS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2644032"/>
        <c:crosses val="autoZero"/>
        <c:auto val="1"/>
        <c:lblAlgn val="ctr"/>
        <c:lblOffset val="100"/>
        <c:noMultiLvlLbl val="0"/>
      </c:catAx>
      <c:valAx>
        <c:axId val="-36264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NP MARGIN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263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NESTLE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'Compiled Data'!$C$107:$G$107</c:f>
              <c:numCache>
                <c:formatCode>General</c:formatCode>
                <c:ptCount val="5"/>
                <c:pt idx="0">
                  <c:v>2016</c:v>
                </c:pt>
                <c:pt idx="1">
                  <c:v>2015</c:v>
                </c:pt>
                <c:pt idx="2">
                  <c:v>2014</c:v>
                </c:pt>
                <c:pt idx="3">
                  <c:v>2013</c:v>
                </c:pt>
                <c:pt idx="4">
                  <c:v>2012</c:v>
                </c:pt>
              </c:numCache>
            </c:numRef>
          </c:cat>
          <c:val>
            <c:numRef>
              <c:f>'Compiled Data'!$C$115:$G$115</c:f>
              <c:numCache>
                <c:formatCode>General</c:formatCode>
                <c:ptCount val="5"/>
                <c:pt idx="0">
                  <c:v>-40.187646598905395</c:v>
                </c:pt>
                <c:pt idx="1">
                  <c:v>-1.9546520719311973</c:v>
                </c:pt>
                <c:pt idx="2">
                  <c:v>-4.2220484753713912</c:v>
                </c:pt>
                <c:pt idx="3">
                  <c:v>0.15637216575450627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362631520"/>
        <c:axId val="-362630976"/>
      </c:barChart>
      <c:catAx>
        <c:axId val="-362631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YEARS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8764479440069991"/>
              <c:y val="0.884328521434820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2630976"/>
        <c:crosses val="autoZero"/>
        <c:auto val="1"/>
        <c:lblAlgn val="ctr"/>
        <c:lblOffset val="100"/>
        <c:noMultiLvlLbl val="0"/>
      </c:catAx>
      <c:valAx>
        <c:axId val="-36263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NP MARGIN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263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HUL</a:t>
            </a:r>
          </a:p>
        </c:rich>
      </c:tx>
      <c:layout>
        <c:manualLayout>
          <c:xMode val="edge"/>
          <c:yMode val="edge"/>
          <c:x val="0.4608541119860017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'Compiled Data'!$C$107:$G$107</c:f>
              <c:numCache>
                <c:formatCode>General</c:formatCode>
                <c:ptCount val="5"/>
                <c:pt idx="0">
                  <c:v>2016</c:v>
                </c:pt>
                <c:pt idx="1">
                  <c:v>2015</c:v>
                </c:pt>
                <c:pt idx="2">
                  <c:v>2014</c:v>
                </c:pt>
                <c:pt idx="3">
                  <c:v>2013</c:v>
                </c:pt>
                <c:pt idx="4">
                  <c:v>2012</c:v>
                </c:pt>
              </c:numCache>
            </c:numRef>
          </c:cat>
          <c:val>
            <c:numRef>
              <c:f>'Compiled Data'!$C$119:$G$119</c:f>
              <c:numCache>
                <c:formatCode>General</c:formatCode>
                <c:ptCount val="5"/>
                <c:pt idx="0">
                  <c:v>-10.197368421052634</c:v>
                </c:pt>
                <c:pt idx="1">
                  <c:v>1.6447368421052566</c:v>
                </c:pt>
                <c:pt idx="2">
                  <c:v>-7.4013157894736672</c:v>
                </c:pt>
                <c:pt idx="3">
                  <c:v>20.888157894736832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362642400"/>
        <c:axId val="-362630432"/>
      </c:barChart>
      <c:catAx>
        <c:axId val="-362642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YEARS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2630432"/>
        <c:crosses val="autoZero"/>
        <c:auto val="1"/>
        <c:lblAlgn val="ctr"/>
        <c:lblOffset val="100"/>
        <c:noMultiLvlLbl val="0"/>
      </c:catAx>
      <c:valAx>
        <c:axId val="-36263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NP MARGIN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264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ITC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'Compiled Data'!$C$107:$G$107</c:f>
              <c:numCache>
                <c:formatCode>General</c:formatCode>
                <c:ptCount val="5"/>
                <c:pt idx="0">
                  <c:v>2016</c:v>
                </c:pt>
                <c:pt idx="1">
                  <c:v>2015</c:v>
                </c:pt>
                <c:pt idx="2">
                  <c:v>2014</c:v>
                </c:pt>
                <c:pt idx="3">
                  <c:v>2013</c:v>
                </c:pt>
                <c:pt idx="4">
                  <c:v>2012</c:v>
                </c:pt>
              </c:numCache>
            </c:numRef>
          </c:cat>
          <c:val>
            <c:numRef>
              <c:f>'Compiled Data'!$C$123:$G$123</c:f>
              <c:numCache>
                <c:formatCode>General</c:formatCode>
                <c:ptCount val="5"/>
                <c:pt idx="0">
                  <c:v>1.6755210461789956</c:v>
                </c:pt>
                <c:pt idx="1">
                  <c:v>-0.49039640375970972</c:v>
                </c:pt>
                <c:pt idx="2">
                  <c:v>6.6612178177359986</c:v>
                </c:pt>
                <c:pt idx="3">
                  <c:v>1.3485901103391984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362632064"/>
        <c:axId val="-362638048"/>
      </c:barChart>
      <c:catAx>
        <c:axId val="-362632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YEARS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2638048"/>
        <c:crosses val="autoZero"/>
        <c:auto val="1"/>
        <c:lblAlgn val="ctr"/>
        <c:lblOffset val="100"/>
        <c:noMultiLvlLbl val="0"/>
      </c:catAx>
      <c:valAx>
        <c:axId val="-36263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NP MARGIN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263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EPS</a:t>
            </a:r>
          </a:p>
        </c:rich>
      </c:tx>
      <c:layout>
        <c:manualLayout>
          <c:xMode val="edge"/>
          <c:yMode val="edge"/>
          <c:x val="0.3807915573053368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'Compiled Data'!$D$23:$D$26</c:f>
              <c:strCache>
                <c:ptCount val="4"/>
                <c:pt idx="0">
                  <c:v>PNG</c:v>
                </c:pt>
                <c:pt idx="1">
                  <c:v>NESTLE</c:v>
                </c:pt>
                <c:pt idx="2">
                  <c:v>HUL</c:v>
                </c:pt>
                <c:pt idx="3">
                  <c:v>ITC</c:v>
                </c:pt>
              </c:strCache>
            </c:strRef>
          </c:cat>
          <c:val>
            <c:numRef>
              <c:f>'Compiled Data'!$E$23:$E$26</c:f>
              <c:numCache>
                <c:formatCode>General</c:formatCode>
                <c:ptCount val="4"/>
                <c:pt idx="0">
                  <c:v>26.685765443151304</c:v>
                </c:pt>
                <c:pt idx="1">
                  <c:v>-8.2843677930412092</c:v>
                </c:pt>
                <c:pt idx="2">
                  <c:v>10.28892455858748</c:v>
                </c:pt>
                <c:pt idx="3">
                  <c:v>10.920554854981086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DIVIDEND PAYOUT</a:t>
            </a:r>
          </a:p>
        </c:rich>
      </c:tx>
      <c:layout>
        <c:manualLayout>
          <c:xMode val="edge"/>
          <c:yMode val="edge"/>
          <c:x val="0.3085693350831146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'Compiled Data'!$C$59:$C$62</c:f>
              <c:strCache>
                <c:ptCount val="4"/>
                <c:pt idx="0">
                  <c:v>PNG</c:v>
                </c:pt>
                <c:pt idx="1">
                  <c:v>NESTLE</c:v>
                </c:pt>
                <c:pt idx="2">
                  <c:v>HUL</c:v>
                </c:pt>
                <c:pt idx="3">
                  <c:v>ITC</c:v>
                </c:pt>
              </c:strCache>
            </c:strRef>
          </c:cat>
          <c:val>
            <c:numRef>
              <c:f>'Compiled Data'!$D$59:$D$62</c:f>
              <c:numCache>
                <c:formatCode>General</c:formatCode>
                <c:ptCount val="4"/>
                <c:pt idx="0">
                  <c:v>-6.2909632571996035</c:v>
                </c:pt>
                <c:pt idx="1">
                  <c:v>14.139420111042563</c:v>
                </c:pt>
                <c:pt idx="2">
                  <c:v>8.1634008635004953</c:v>
                </c:pt>
                <c:pt idx="3">
                  <c:v>4.3405149763531261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ROE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3"/>
              <c:layout>
                <c:manualLayout>
                  <c:x val="4.2615485564304459E-2"/>
                  <c:y val="0.1696875911344415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'Compiled Data'!$C$97:$C$100</c:f>
              <c:strCache>
                <c:ptCount val="4"/>
                <c:pt idx="0">
                  <c:v>PNG</c:v>
                </c:pt>
                <c:pt idx="1">
                  <c:v>NESTLE</c:v>
                </c:pt>
                <c:pt idx="2">
                  <c:v>HUL</c:v>
                </c:pt>
                <c:pt idx="3">
                  <c:v>ITC</c:v>
                </c:pt>
              </c:strCache>
            </c:strRef>
          </c:cat>
          <c:val>
            <c:numRef>
              <c:f>'Compiled Data'!$D$97:$D$100</c:f>
              <c:numCache>
                <c:formatCode>General</c:formatCode>
                <c:ptCount val="4"/>
                <c:pt idx="0">
                  <c:v>1.360294117647058</c:v>
                </c:pt>
                <c:pt idx="1">
                  <c:v>-14.705180866569496</c:v>
                </c:pt>
                <c:pt idx="2">
                  <c:v>8.9036805011746285</c:v>
                </c:pt>
                <c:pt idx="3">
                  <c:v>-1.7883211678832125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NP</a:t>
            </a:r>
            <a:r>
              <a:rPr lang="en-IN" baseline="0"/>
              <a:t> MARGIN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'Compiled Data'!$C$131:$C$134</c:f>
              <c:strCache>
                <c:ptCount val="4"/>
                <c:pt idx="0">
                  <c:v>PNG</c:v>
                </c:pt>
                <c:pt idx="1">
                  <c:v>NESTLE</c:v>
                </c:pt>
                <c:pt idx="2">
                  <c:v>HUL</c:v>
                </c:pt>
                <c:pt idx="3">
                  <c:v>ITC</c:v>
                </c:pt>
              </c:strCache>
            </c:strRef>
          </c:cat>
          <c:val>
            <c:numRef>
              <c:f>'Compiled Data'!$D$131:$D$134</c:f>
              <c:numCache>
                <c:formatCode>General</c:formatCode>
                <c:ptCount val="4"/>
                <c:pt idx="0">
                  <c:v>4.3808160343593423</c:v>
                </c:pt>
                <c:pt idx="1">
                  <c:v>-9.2415949960906971</c:v>
                </c:pt>
                <c:pt idx="2">
                  <c:v>0.98684210526315752</c:v>
                </c:pt>
                <c:pt idx="3">
                  <c:v>1.8389865140988966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</xdr:colOff>
      <xdr:row>1</xdr:row>
      <xdr:rowOff>0</xdr:rowOff>
    </xdr:from>
    <xdr:to>
      <xdr:col>16</xdr:col>
      <xdr:colOff>390525</xdr:colOff>
      <xdr:row>15</xdr:row>
      <xdr:rowOff>28575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16</xdr:col>
      <xdr:colOff>361950</xdr:colOff>
      <xdr:row>31</xdr:row>
      <xdr:rowOff>76200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1</xdr:row>
      <xdr:rowOff>0</xdr:rowOff>
    </xdr:from>
    <xdr:to>
      <xdr:col>24</xdr:col>
      <xdr:colOff>247650</xdr:colOff>
      <xdr:row>15</xdr:row>
      <xdr:rowOff>28575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17</xdr:row>
      <xdr:rowOff>28575</xdr:rowOff>
    </xdr:from>
    <xdr:to>
      <xdr:col>24</xdr:col>
      <xdr:colOff>304800</xdr:colOff>
      <xdr:row>31</xdr:row>
      <xdr:rowOff>104775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9525</xdr:colOff>
      <xdr:row>36</xdr:row>
      <xdr:rowOff>23812</xdr:rowOff>
    </xdr:from>
    <xdr:to>
      <xdr:col>15</xdr:col>
      <xdr:colOff>571500</xdr:colOff>
      <xdr:row>50</xdr:row>
      <xdr:rowOff>100012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9525</xdr:colOff>
      <xdr:row>36</xdr:row>
      <xdr:rowOff>4762</xdr:rowOff>
    </xdr:from>
    <xdr:to>
      <xdr:col>24</xdr:col>
      <xdr:colOff>314325</xdr:colOff>
      <xdr:row>50</xdr:row>
      <xdr:rowOff>80962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581025</xdr:colOff>
      <xdr:row>52</xdr:row>
      <xdr:rowOff>23812</xdr:rowOff>
    </xdr:from>
    <xdr:to>
      <xdr:col>15</xdr:col>
      <xdr:colOff>561975</xdr:colOff>
      <xdr:row>66</xdr:row>
      <xdr:rowOff>100012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19050</xdr:colOff>
      <xdr:row>51</xdr:row>
      <xdr:rowOff>185737</xdr:rowOff>
    </xdr:from>
    <xdr:to>
      <xdr:col>24</xdr:col>
      <xdr:colOff>323850</xdr:colOff>
      <xdr:row>66</xdr:row>
      <xdr:rowOff>71437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28575</xdr:colOff>
      <xdr:row>71</xdr:row>
      <xdr:rowOff>23812</xdr:rowOff>
    </xdr:from>
    <xdr:to>
      <xdr:col>16</xdr:col>
      <xdr:colOff>333375</xdr:colOff>
      <xdr:row>85</xdr:row>
      <xdr:rowOff>100012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466725</xdr:colOff>
      <xdr:row>71</xdr:row>
      <xdr:rowOff>23812</xdr:rowOff>
    </xdr:from>
    <xdr:to>
      <xdr:col>25</xdr:col>
      <xdr:colOff>161925</xdr:colOff>
      <xdr:row>85</xdr:row>
      <xdr:rowOff>100012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38100</xdr:colOff>
      <xdr:row>87</xdr:row>
      <xdr:rowOff>33337</xdr:rowOff>
    </xdr:from>
    <xdr:to>
      <xdr:col>16</xdr:col>
      <xdr:colOff>342900</xdr:colOff>
      <xdr:row>101</xdr:row>
      <xdr:rowOff>100012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447675</xdr:colOff>
      <xdr:row>87</xdr:row>
      <xdr:rowOff>80962</xdr:rowOff>
    </xdr:from>
    <xdr:to>
      <xdr:col>25</xdr:col>
      <xdr:colOff>142875</xdr:colOff>
      <xdr:row>101</xdr:row>
      <xdr:rowOff>147637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7776</xdr:colOff>
      <xdr:row>106</xdr:row>
      <xdr:rowOff>3692</xdr:rowOff>
    </xdr:from>
    <xdr:to>
      <xdr:col>16</xdr:col>
      <xdr:colOff>293526</xdr:colOff>
      <xdr:row>120</xdr:row>
      <xdr:rowOff>25463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36934</xdr:colOff>
      <xdr:row>106</xdr:row>
      <xdr:rowOff>23132</xdr:rowOff>
    </xdr:from>
    <xdr:to>
      <xdr:col>24</xdr:col>
      <xdr:colOff>322684</xdr:colOff>
      <xdr:row>120</xdr:row>
      <xdr:rowOff>44903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27215</xdr:colOff>
      <xdr:row>121</xdr:row>
      <xdr:rowOff>188360</xdr:rowOff>
    </xdr:from>
    <xdr:to>
      <xdr:col>16</xdr:col>
      <xdr:colOff>312965</xdr:colOff>
      <xdr:row>136</xdr:row>
      <xdr:rowOff>6025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36934</xdr:colOff>
      <xdr:row>122</xdr:row>
      <xdr:rowOff>42569</xdr:rowOff>
    </xdr:from>
    <xdr:to>
      <xdr:col>24</xdr:col>
      <xdr:colOff>322684</xdr:colOff>
      <xdr:row>136</xdr:row>
      <xdr:rowOff>54622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8</xdr:col>
      <xdr:colOff>323850</xdr:colOff>
      <xdr:row>17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17</xdr:col>
      <xdr:colOff>304800</xdr:colOff>
      <xdr:row>17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8</xdr:col>
      <xdr:colOff>304800</xdr:colOff>
      <xdr:row>34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17</xdr:col>
      <xdr:colOff>304800</xdr:colOff>
      <xdr:row>34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80"/>
  <sheetViews>
    <sheetView topLeftCell="A53" zoomScale="98" zoomScaleNormal="98" workbookViewId="0">
      <selection activeCell="B59" sqref="B59:G69"/>
    </sheetView>
  </sheetViews>
  <sheetFormatPr defaultRowHeight="15" x14ac:dyDescent="0.25"/>
  <cols>
    <col min="2" max="2" width="32" customWidth="1"/>
    <col min="3" max="3" width="11" customWidth="1"/>
    <col min="10" max="10" width="50.5703125" customWidth="1"/>
    <col min="11" max="15" width="10.42578125" bestFit="1" customWidth="1"/>
  </cols>
  <sheetData>
    <row r="2" spans="2:15" ht="18.75" x14ac:dyDescent="0.3">
      <c r="B2" s="8" t="s">
        <v>35</v>
      </c>
      <c r="J2" s="8" t="s">
        <v>54</v>
      </c>
    </row>
    <row r="4" spans="2:15" ht="15.75" x14ac:dyDescent="0.25">
      <c r="B4" s="1"/>
      <c r="C4" s="55" t="s">
        <v>36</v>
      </c>
      <c r="D4" s="55"/>
      <c r="E4" s="55"/>
      <c r="F4" s="55"/>
      <c r="G4" s="55"/>
      <c r="J4" s="1"/>
      <c r="K4" s="55" t="s">
        <v>36</v>
      </c>
      <c r="L4" s="55"/>
      <c r="M4" s="55"/>
      <c r="N4" s="55"/>
      <c r="O4" s="55"/>
    </row>
    <row r="5" spans="2:15" ht="15.75" x14ac:dyDescent="0.25">
      <c r="B5" s="1"/>
      <c r="C5" s="4">
        <v>42522</v>
      </c>
      <c r="D5" s="4">
        <v>42156</v>
      </c>
      <c r="E5" s="4">
        <v>41791</v>
      </c>
      <c r="F5" s="4">
        <v>41426</v>
      </c>
      <c r="G5" s="4">
        <v>41061</v>
      </c>
      <c r="J5" s="1"/>
      <c r="K5" s="4">
        <v>42522</v>
      </c>
      <c r="L5" s="4">
        <v>42156</v>
      </c>
      <c r="M5" s="4">
        <v>41791</v>
      </c>
      <c r="N5" s="4">
        <v>41426</v>
      </c>
      <c r="O5" s="4">
        <v>41061</v>
      </c>
    </row>
    <row r="6" spans="2:15" ht="15.75" x14ac:dyDescent="0.25">
      <c r="B6" s="1"/>
      <c r="C6" s="1"/>
      <c r="D6" s="1"/>
      <c r="E6" s="1"/>
      <c r="F6" s="1"/>
      <c r="G6" s="1"/>
      <c r="J6" s="1"/>
      <c r="K6" s="1"/>
      <c r="L6" s="1"/>
      <c r="M6" s="1"/>
      <c r="N6" s="1"/>
      <c r="O6" s="1"/>
    </row>
    <row r="7" spans="2:15" ht="15.75" x14ac:dyDescent="0.25">
      <c r="B7" s="1"/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J7" s="1"/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</row>
    <row r="8" spans="2:15" ht="15.75" x14ac:dyDescent="0.25">
      <c r="B8" s="1"/>
      <c r="C8" s="1"/>
      <c r="D8" s="1"/>
      <c r="E8" s="1"/>
      <c r="F8" s="1"/>
      <c r="G8" s="1"/>
      <c r="J8" s="1"/>
      <c r="K8" s="1"/>
      <c r="L8" s="1"/>
      <c r="M8" s="1"/>
      <c r="N8" s="1"/>
      <c r="O8" s="1"/>
    </row>
    <row r="9" spans="2:15" ht="15.75" x14ac:dyDescent="0.25">
      <c r="B9" s="1" t="s">
        <v>1</v>
      </c>
      <c r="C9" s="1"/>
      <c r="D9" s="1"/>
      <c r="E9" s="1"/>
      <c r="F9" s="1"/>
      <c r="G9" s="1"/>
      <c r="J9" s="1" t="s">
        <v>37</v>
      </c>
      <c r="K9" s="1"/>
      <c r="L9" s="1"/>
      <c r="M9" s="1"/>
      <c r="N9" s="1"/>
      <c r="O9" s="1"/>
    </row>
    <row r="10" spans="2:15" ht="15.75" x14ac:dyDescent="0.25">
      <c r="B10" s="1" t="s">
        <v>2</v>
      </c>
      <c r="C10" s="1"/>
      <c r="D10" s="1"/>
      <c r="E10" s="1"/>
      <c r="F10" s="1"/>
      <c r="G10" s="1"/>
      <c r="J10" s="1" t="s">
        <v>38</v>
      </c>
      <c r="K10" s="3">
        <v>2552.7199999999998</v>
      </c>
      <c r="L10" s="3">
        <v>2358.38</v>
      </c>
      <c r="M10" s="3">
        <v>2063.56</v>
      </c>
      <c r="N10" s="3">
        <v>1696.66</v>
      </c>
      <c r="O10" s="3">
        <v>1301.1300000000001</v>
      </c>
    </row>
    <row r="11" spans="2:15" ht="15.75" x14ac:dyDescent="0.25">
      <c r="B11" s="1" t="s">
        <v>3</v>
      </c>
      <c r="C11" s="1">
        <v>32.46</v>
      </c>
      <c r="D11" s="1">
        <v>32.46</v>
      </c>
      <c r="E11" s="1">
        <v>32.46</v>
      </c>
      <c r="F11" s="1">
        <v>32.46</v>
      </c>
      <c r="G11" s="1">
        <v>32.46</v>
      </c>
      <c r="J11" s="1" t="s">
        <v>101</v>
      </c>
      <c r="K11" s="1">
        <v>71.040000000000006</v>
      </c>
      <c r="L11" s="1">
        <v>26.11</v>
      </c>
      <c r="M11" s="1">
        <v>16.36</v>
      </c>
      <c r="N11" s="1">
        <v>11.8</v>
      </c>
      <c r="O11" s="1">
        <v>6.44</v>
      </c>
    </row>
    <row r="12" spans="2:15" ht="15.75" x14ac:dyDescent="0.25">
      <c r="B12" s="1" t="s">
        <v>4</v>
      </c>
      <c r="C12" s="1">
        <v>32.46</v>
      </c>
      <c r="D12" s="1">
        <v>32.46</v>
      </c>
      <c r="E12" s="1">
        <v>32.46</v>
      </c>
      <c r="F12" s="1">
        <v>32.46</v>
      </c>
      <c r="G12" s="1">
        <v>32.46</v>
      </c>
      <c r="J12" s="1" t="s">
        <v>40</v>
      </c>
      <c r="K12" s="3">
        <v>2481.6799999999998</v>
      </c>
      <c r="L12" s="3">
        <v>2332.27</v>
      </c>
      <c r="M12" s="3">
        <v>2047.2</v>
      </c>
      <c r="N12" s="3">
        <v>1684.86</v>
      </c>
      <c r="O12" s="3">
        <v>1294.7</v>
      </c>
    </row>
    <row r="13" spans="2:15" ht="15.75" x14ac:dyDescent="0.25">
      <c r="B13" s="1" t="s">
        <v>5</v>
      </c>
      <c r="C13" s="3">
        <v>1478.75</v>
      </c>
      <c r="D13" s="3">
        <v>1196.22</v>
      </c>
      <c r="E13" s="1">
        <v>970.44</v>
      </c>
      <c r="F13" s="1">
        <v>772.86</v>
      </c>
      <c r="G13" s="1">
        <v>664.58</v>
      </c>
      <c r="J13" s="1" t="s">
        <v>41</v>
      </c>
      <c r="K13" s="1">
        <v>2.65</v>
      </c>
      <c r="L13" s="1">
        <v>1.52</v>
      </c>
      <c r="M13" s="1">
        <v>3.74</v>
      </c>
      <c r="N13" s="1">
        <v>1.92</v>
      </c>
      <c r="O13" s="1">
        <v>2.71</v>
      </c>
    </row>
    <row r="14" spans="2:15" ht="15.75" x14ac:dyDescent="0.25">
      <c r="B14" s="1" t="s">
        <v>6</v>
      </c>
      <c r="C14" s="3">
        <v>1478.75</v>
      </c>
      <c r="D14" s="3">
        <v>1196.22</v>
      </c>
      <c r="E14" s="1">
        <v>970.44</v>
      </c>
      <c r="F14" s="1">
        <v>772.86</v>
      </c>
      <c r="G14" s="1">
        <v>664.58</v>
      </c>
      <c r="J14" s="1" t="s">
        <v>42</v>
      </c>
      <c r="K14" s="3">
        <v>2484.33</v>
      </c>
      <c r="L14" s="3">
        <v>2333.79</v>
      </c>
      <c r="M14" s="3">
        <v>2050.94</v>
      </c>
      <c r="N14" s="3">
        <v>1686.78</v>
      </c>
      <c r="O14" s="3">
        <v>1297.4100000000001</v>
      </c>
    </row>
    <row r="15" spans="2:15" ht="15.75" x14ac:dyDescent="0.25">
      <c r="B15" s="1" t="s">
        <v>7</v>
      </c>
      <c r="C15" s="3">
        <v>1511.21</v>
      </c>
      <c r="D15" s="3">
        <v>1228.68</v>
      </c>
      <c r="E15" s="3">
        <v>1002.9</v>
      </c>
      <c r="F15" s="1">
        <v>805.32</v>
      </c>
      <c r="G15" s="1">
        <v>697.04</v>
      </c>
      <c r="J15" s="1" t="s">
        <v>43</v>
      </c>
      <c r="K15" s="1">
        <v>87.61</v>
      </c>
      <c r="L15" s="1">
        <v>74.64</v>
      </c>
      <c r="M15" s="1">
        <v>80.2</v>
      </c>
      <c r="N15" s="1">
        <v>66.959999999999994</v>
      </c>
      <c r="O15" s="1">
        <v>50.92</v>
      </c>
    </row>
    <row r="16" spans="2:15" ht="15.75" x14ac:dyDescent="0.25">
      <c r="B16" s="1" t="s">
        <v>8</v>
      </c>
      <c r="C16" s="1"/>
      <c r="D16" s="1"/>
      <c r="E16" s="1"/>
      <c r="F16" s="1"/>
      <c r="G16" s="1"/>
      <c r="J16" s="5" t="s">
        <v>44</v>
      </c>
      <c r="K16" s="6">
        <v>2571.94</v>
      </c>
      <c r="L16" s="6">
        <v>2408.4299999999998</v>
      </c>
      <c r="M16" s="6">
        <v>2131.14</v>
      </c>
      <c r="N16" s="6">
        <v>1753.74</v>
      </c>
      <c r="O16" s="6">
        <v>1348.32</v>
      </c>
    </row>
    <row r="17" spans="2:15" ht="15.75" x14ac:dyDescent="0.25">
      <c r="B17" s="1" t="s">
        <v>9</v>
      </c>
      <c r="C17" s="1">
        <v>0</v>
      </c>
      <c r="D17" s="1">
        <v>0</v>
      </c>
      <c r="E17" s="1">
        <v>0.28000000000000003</v>
      </c>
      <c r="F17" s="1">
        <v>0.36</v>
      </c>
      <c r="G17" s="1">
        <v>0.36</v>
      </c>
      <c r="J17" s="1" t="s">
        <v>45</v>
      </c>
      <c r="K17" s="1"/>
      <c r="L17" s="1"/>
      <c r="M17" s="1"/>
      <c r="N17" s="1"/>
      <c r="O17" s="1"/>
    </row>
    <row r="18" spans="2:15" ht="15.75" x14ac:dyDescent="0.25">
      <c r="B18" s="1" t="s">
        <v>10</v>
      </c>
      <c r="C18" s="1">
        <v>3.57</v>
      </c>
      <c r="D18" s="1">
        <v>3.33</v>
      </c>
      <c r="E18" s="1">
        <v>2.66</v>
      </c>
      <c r="F18" s="1">
        <v>2.4300000000000002</v>
      </c>
      <c r="G18" s="1">
        <v>2.2000000000000002</v>
      </c>
      <c r="J18" s="1" t="s">
        <v>46</v>
      </c>
      <c r="K18" s="1">
        <v>591.63</v>
      </c>
      <c r="L18" s="1">
        <v>578.86</v>
      </c>
      <c r="M18" s="1">
        <v>524.5</v>
      </c>
      <c r="N18" s="1">
        <v>494.1</v>
      </c>
      <c r="O18" s="1">
        <v>395.89</v>
      </c>
    </row>
    <row r="19" spans="2:15" ht="15.75" x14ac:dyDescent="0.25">
      <c r="B19" s="7" t="s">
        <v>11</v>
      </c>
      <c r="C19" s="7">
        <v>3.57</v>
      </c>
      <c r="D19" s="7">
        <v>3.33</v>
      </c>
      <c r="E19" s="7">
        <v>2.94</v>
      </c>
      <c r="F19" s="7">
        <v>2.79</v>
      </c>
      <c r="G19" s="7">
        <v>2.56</v>
      </c>
      <c r="J19" s="1" t="s">
        <v>47</v>
      </c>
      <c r="K19" s="1">
        <v>333.5</v>
      </c>
      <c r="L19" s="1">
        <v>343.3</v>
      </c>
      <c r="M19" s="1">
        <v>283.41000000000003</v>
      </c>
      <c r="N19" s="1">
        <v>243.79</v>
      </c>
      <c r="O19" s="1">
        <v>145.06</v>
      </c>
    </row>
    <row r="20" spans="2:15" ht="15.75" x14ac:dyDescent="0.25">
      <c r="B20" s="1" t="s">
        <v>12</v>
      </c>
      <c r="C20" s="1"/>
      <c r="D20" s="1"/>
      <c r="E20" s="1"/>
      <c r="F20" s="1"/>
      <c r="G20" s="1"/>
      <c r="J20" s="1" t="s">
        <v>48</v>
      </c>
      <c r="K20" s="1">
        <v>-10.71</v>
      </c>
      <c r="L20" s="1">
        <v>-1.24</v>
      </c>
      <c r="M20" s="1">
        <v>4.88</v>
      </c>
      <c r="N20" s="1">
        <v>-33.39</v>
      </c>
      <c r="O20" s="1">
        <v>-16.670000000000002</v>
      </c>
    </row>
    <row r="21" spans="2:15" ht="15.75" x14ac:dyDescent="0.25">
      <c r="B21" s="1" t="s">
        <v>13</v>
      </c>
      <c r="C21" s="1">
        <v>324.13</v>
      </c>
      <c r="D21" s="1">
        <v>372.3</v>
      </c>
      <c r="E21" s="1">
        <v>230.32</v>
      </c>
      <c r="F21" s="1">
        <v>204.46</v>
      </c>
      <c r="G21" s="1">
        <v>255.36</v>
      </c>
      <c r="J21" s="1" t="s">
        <v>49</v>
      </c>
      <c r="K21" s="1">
        <v>118.56</v>
      </c>
      <c r="L21" s="1">
        <v>113.29</v>
      </c>
      <c r="M21" s="1">
        <v>94.96</v>
      </c>
      <c r="N21" s="1">
        <v>99.65</v>
      </c>
      <c r="O21" s="1">
        <v>64.66</v>
      </c>
    </row>
    <row r="22" spans="2:15" ht="15.75" x14ac:dyDescent="0.25">
      <c r="B22" s="1" t="s">
        <v>14</v>
      </c>
      <c r="C22" s="1">
        <v>99.74</v>
      </c>
      <c r="D22" s="1">
        <v>84.65</v>
      </c>
      <c r="E22" s="1">
        <v>62.79</v>
      </c>
      <c r="F22" s="1">
        <v>85.7</v>
      </c>
      <c r="G22" s="1">
        <v>54.01</v>
      </c>
      <c r="J22" s="1" t="s">
        <v>50</v>
      </c>
      <c r="K22" s="1">
        <v>4.0199999999999996</v>
      </c>
      <c r="L22" s="1">
        <v>5.72</v>
      </c>
      <c r="M22" s="1">
        <v>5.39</v>
      </c>
      <c r="N22" s="1">
        <v>0.01</v>
      </c>
      <c r="O22" s="1">
        <v>0.03</v>
      </c>
    </row>
    <row r="23" spans="2:15" ht="15.75" x14ac:dyDescent="0.25">
      <c r="B23" s="1" t="s">
        <v>15</v>
      </c>
      <c r="C23" s="1">
        <v>225.95</v>
      </c>
      <c r="D23" s="1">
        <v>258.72000000000003</v>
      </c>
      <c r="E23" s="1">
        <v>208.99</v>
      </c>
      <c r="F23" s="1">
        <v>99.74</v>
      </c>
      <c r="G23" s="1">
        <v>89.57</v>
      </c>
      <c r="J23" s="1" t="s">
        <v>51</v>
      </c>
      <c r="K23" s="1">
        <v>51.69</v>
      </c>
      <c r="L23" s="1">
        <v>52.53</v>
      </c>
      <c r="M23" s="1">
        <v>35.18</v>
      </c>
      <c r="N23" s="1">
        <v>31.31</v>
      </c>
      <c r="O23" s="1">
        <v>28.08</v>
      </c>
    </row>
    <row r="24" spans="2:15" ht="15.75" x14ac:dyDescent="0.25">
      <c r="B24" s="1" t="s">
        <v>16</v>
      </c>
      <c r="C24" s="1">
        <v>649.82000000000005</v>
      </c>
      <c r="D24" s="1">
        <v>715.67</v>
      </c>
      <c r="E24" s="1">
        <v>502.1</v>
      </c>
      <c r="F24" s="1">
        <v>389.9</v>
      </c>
      <c r="G24" s="1">
        <v>398.94</v>
      </c>
      <c r="J24" s="1" t="s">
        <v>52</v>
      </c>
      <c r="K24" s="1">
        <v>846.71</v>
      </c>
      <c r="L24" s="1">
        <v>815.16</v>
      </c>
      <c r="M24" s="1">
        <v>722.5</v>
      </c>
      <c r="N24" s="1">
        <v>632.07000000000005</v>
      </c>
      <c r="O24" s="1">
        <v>508.25</v>
      </c>
    </row>
    <row r="25" spans="2:15" ht="15.75" x14ac:dyDescent="0.25">
      <c r="B25" s="5" t="s">
        <v>17</v>
      </c>
      <c r="C25" s="6">
        <v>2164.6</v>
      </c>
      <c r="D25" s="6">
        <v>1947.68</v>
      </c>
      <c r="E25" s="6">
        <v>1507.94</v>
      </c>
      <c r="F25" s="6">
        <v>1198.01</v>
      </c>
      <c r="G25" s="6">
        <v>1098.53</v>
      </c>
      <c r="J25" s="5" t="s">
        <v>53</v>
      </c>
      <c r="K25" s="6">
        <v>1935.4</v>
      </c>
      <c r="L25" s="6">
        <v>1907.62</v>
      </c>
      <c r="M25" s="6">
        <v>1670.82</v>
      </c>
      <c r="N25" s="6">
        <v>1467.54</v>
      </c>
      <c r="O25" s="6">
        <v>1125.31</v>
      </c>
    </row>
    <row r="26" spans="2:15" ht="15.75" x14ac:dyDescent="0.25">
      <c r="B26" s="1" t="s">
        <v>18</v>
      </c>
      <c r="C26" s="1"/>
      <c r="D26" s="1"/>
      <c r="E26" s="1"/>
      <c r="F26" s="1"/>
      <c r="G26" s="1"/>
    </row>
    <row r="27" spans="2:15" ht="15.75" x14ac:dyDescent="0.25">
      <c r="B27" s="1" t="s">
        <v>19</v>
      </c>
      <c r="C27" s="1"/>
      <c r="D27" s="1"/>
      <c r="E27" s="1"/>
      <c r="F27" s="1"/>
      <c r="G27" s="1"/>
    </row>
    <row r="28" spans="2:15" ht="15.75" x14ac:dyDescent="0.25">
      <c r="B28" s="1" t="s">
        <v>20</v>
      </c>
      <c r="C28" s="1">
        <v>316.86</v>
      </c>
      <c r="D28" s="1">
        <v>308.79000000000002</v>
      </c>
      <c r="E28" s="1">
        <v>239.51</v>
      </c>
      <c r="F28" s="1">
        <v>214.87</v>
      </c>
      <c r="G28" s="1">
        <v>198.39</v>
      </c>
    </row>
    <row r="29" spans="2:15" ht="15.75" x14ac:dyDescent="0.25">
      <c r="B29" s="1" t="s">
        <v>21</v>
      </c>
      <c r="C29" s="1">
        <v>34.72</v>
      </c>
      <c r="D29" s="1">
        <v>38.979999999999997</v>
      </c>
      <c r="E29" s="1">
        <v>98.17</v>
      </c>
      <c r="F29" s="1">
        <v>41.24</v>
      </c>
      <c r="G29" s="1">
        <v>28.91</v>
      </c>
    </row>
    <row r="30" spans="2:15" ht="15.75" x14ac:dyDescent="0.25">
      <c r="B30" s="1" t="s">
        <v>22</v>
      </c>
      <c r="C30" s="1">
        <v>351.58</v>
      </c>
      <c r="D30" s="1">
        <v>347.77</v>
      </c>
      <c r="E30" s="1">
        <v>337.68</v>
      </c>
      <c r="F30" s="1">
        <v>256.11</v>
      </c>
      <c r="G30" s="1">
        <v>227.3</v>
      </c>
    </row>
    <row r="31" spans="2:15" ht="15.75" x14ac:dyDescent="0.25">
      <c r="B31" s="1" t="s">
        <v>23</v>
      </c>
      <c r="C31" s="1">
        <v>7.88</v>
      </c>
      <c r="D31" s="1">
        <v>3.96</v>
      </c>
      <c r="E31" s="1">
        <v>7.17</v>
      </c>
      <c r="F31" s="1">
        <v>2.95</v>
      </c>
      <c r="G31" s="1">
        <v>1.53</v>
      </c>
    </row>
    <row r="32" spans="2:15" ht="15.75" x14ac:dyDescent="0.25">
      <c r="B32" s="1" t="s">
        <v>24</v>
      </c>
      <c r="C32" s="1">
        <v>171.47</v>
      </c>
      <c r="D32" s="1">
        <v>238.79</v>
      </c>
      <c r="E32" s="1">
        <v>150.66</v>
      </c>
      <c r="F32" s="1">
        <v>98.14</v>
      </c>
      <c r="G32" s="1">
        <v>100.38</v>
      </c>
    </row>
    <row r="33" spans="2:7" ht="15.75" x14ac:dyDescent="0.25">
      <c r="B33" s="1" t="s">
        <v>25</v>
      </c>
      <c r="C33" s="1">
        <v>0.12</v>
      </c>
      <c r="D33" s="1">
        <v>0.05</v>
      </c>
      <c r="E33" s="1">
        <v>0</v>
      </c>
      <c r="F33" s="1">
        <v>0.11</v>
      </c>
      <c r="G33" s="1">
        <v>0.04</v>
      </c>
    </row>
    <row r="34" spans="2:7" ht="15.75" x14ac:dyDescent="0.25">
      <c r="B34" s="1" t="s">
        <v>26</v>
      </c>
      <c r="C34" s="1">
        <v>531.04999999999995</v>
      </c>
      <c r="D34" s="1">
        <v>590.57000000000005</v>
      </c>
      <c r="E34" s="1">
        <v>495.51</v>
      </c>
      <c r="F34" s="1">
        <v>357.31</v>
      </c>
      <c r="G34" s="1">
        <v>329.25</v>
      </c>
    </row>
    <row r="35" spans="2:7" ht="15.75" x14ac:dyDescent="0.25">
      <c r="B35" s="1" t="s">
        <v>27</v>
      </c>
      <c r="C35" s="1"/>
      <c r="D35" s="1"/>
      <c r="E35" s="1"/>
      <c r="F35" s="1"/>
      <c r="G35" s="1"/>
    </row>
    <row r="36" spans="2:7" ht="15.75" x14ac:dyDescent="0.25">
      <c r="B36" s="1" t="s">
        <v>28</v>
      </c>
      <c r="C36" s="1">
        <v>127.48</v>
      </c>
      <c r="D36" s="1">
        <v>119.07</v>
      </c>
      <c r="E36" s="1">
        <v>118.52</v>
      </c>
      <c r="F36" s="1">
        <v>118.9</v>
      </c>
      <c r="G36" s="1">
        <v>92.27</v>
      </c>
    </row>
    <row r="37" spans="2:7" ht="15.75" x14ac:dyDescent="0.25">
      <c r="B37" s="1" t="s">
        <v>29</v>
      </c>
      <c r="C37" s="1">
        <v>149.62</v>
      </c>
      <c r="D37" s="1">
        <v>113.94</v>
      </c>
      <c r="E37" s="1">
        <v>86.05</v>
      </c>
      <c r="F37" s="1">
        <v>80.87</v>
      </c>
      <c r="G37" s="1">
        <v>48.15</v>
      </c>
    </row>
    <row r="38" spans="2:7" ht="15.75" x14ac:dyDescent="0.25">
      <c r="B38" s="1" t="s">
        <v>30</v>
      </c>
      <c r="C38" s="3">
        <v>1074.8699999999999</v>
      </c>
      <c r="D38" s="1">
        <v>618.58000000000004</v>
      </c>
      <c r="E38" s="1">
        <v>269.08</v>
      </c>
      <c r="F38" s="1">
        <v>166.03</v>
      </c>
      <c r="G38" s="1">
        <v>182.37</v>
      </c>
    </row>
    <row r="39" spans="2:7" ht="15.75" x14ac:dyDescent="0.25">
      <c r="B39" s="1" t="s">
        <v>31</v>
      </c>
      <c r="C39" s="1">
        <v>217.79</v>
      </c>
      <c r="D39" s="1">
        <v>451.16</v>
      </c>
      <c r="E39" s="1">
        <v>493.48</v>
      </c>
      <c r="F39" s="1">
        <v>469.38</v>
      </c>
      <c r="G39" s="1">
        <v>425.4</v>
      </c>
    </row>
    <row r="40" spans="2:7" ht="15.75" x14ac:dyDescent="0.25">
      <c r="B40" s="1" t="s">
        <v>32</v>
      </c>
      <c r="C40" s="1">
        <v>63.79</v>
      </c>
      <c r="D40" s="1">
        <v>54.36</v>
      </c>
      <c r="E40" s="1">
        <v>45.3</v>
      </c>
      <c r="F40" s="1">
        <v>5.52</v>
      </c>
      <c r="G40" s="1">
        <v>21.1</v>
      </c>
    </row>
    <row r="41" spans="2:7" ht="15.75" x14ac:dyDescent="0.25">
      <c r="B41" s="1" t="s">
        <v>33</v>
      </c>
      <c r="C41" s="3">
        <v>1633.55</v>
      </c>
      <c r="D41" s="3">
        <v>1357.11</v>
      </c>
      <c r="E41" s="3">
        <v>1012.43</v>
      </c>
      <c r="F41" s="1">
        <v>840.7</v>
      </c>
      <c r="G41" s="1">
        <v>769.28</v>
      </c>
    </row>
    <row r="42" spans="2:7" ht="15.75" x14ac:dyDescent="0.25">
      <c r="B42" s="5" t="s">
        <v>34</v>
      </c>
      <c r="C42" s="6">
        <v>2164.6</v>
      </c>
      <c r="D42" s="6">
        <v>1947.68</v>
      </c>
      <c r="E42" s="6">
        <v>1507.94</v>
      </c>
      <c r="F42" s="6">
        <v>1198.01</v>
      </c>
      <c r="G42" s="6">
        <v>1098.53</v>
      </c>
    </row>
    <row r="48" spans="2:7" ht="15.75" x14ac:dyDescent="0.25">
      <c r="C48" s="55" t="s">
        <v>36</v>
      </c>
      <c r="D48" s="55"/>
      <c r="E48" s="55"/>
      <c r="F48" s="55"/>
      <c r="G48" s="55"/>
    </row>
    <row r="49" spans="2:9" ht="15.75" x14ac:dyDescent="0.25">
      <c r="B49" s="12"/>
      <c r="C49" s="13">
        <v>42522</v>
      </c>
      <c r="D49" s="13">
        <v>42156</v>
      </c>
      <c r="E49" s="13">
        <v>41791</v>
      </c>
      <c r="F49" s="13">
        <v>41426</v>
      </c>
      <c r="G49" s="13">
        <v>41061</v>
      </c>
    </row>
    <row r="50" spans="2:9" ht="19.5" customHeight="1" x14ac:dyDescent="0.25">
      <c r="B50" s="14" t="s">
        <v>55</v>
      </c>
      <c r="C50" s="12">
        <v>130.37</v>
      </c>
      <c r="D50" s="12">
        <v>106.63</v>
      </c>
      <c r="E50" s="12">
        <v>93.04</v>
      </c>
      <c r="F50" s="12">
        <v>62.61</v>
      </c>
      <c r="G50" s="12">
        <v>55.85</v>
      </c>
    </row>
    <row r="51" spans="2:9" ht="19.5" customHeight="1" x14ac:dyDescent="0.25">
      <c r="B51" s="15" t="s">
        <v>56</v>
      </c>
      <c r="C51" s="15">
        <v>17.03</v>
      </c>
      <c r="D51" s="15">
        <v>14.83</v>
      </c>
      <c r="E51" s="15">
        <v>14.72</v>
      </c>
      <c r="F51" s="15">
        <v>12.04</v>
      </c>
      <c r="G51" s="15">
        <v>13.97</v>
      </c>
    </row>
    <row r="52" spans="2:9" ht="21" customHeight="1" x14ac:dyDescent="0.25">
      <c r="B52" s="15" t="s">
        <v>57</v>
      </c>
      <c r="C52" s="15">
        <v>19.489999999999998</v>
      </c>
      <c r="D52" s="15">
        <v>19.600000000000001</v>
      </c>
      <c r="E52" s="15">
        <v>17.3</v>
      </c>
      <c r="F52" s="15">
        <v>14.19</v>
      </c>
      <c r="G52" s="15">
        <v>14.06</v>
      </c>
    </row>
    <row r="53" spans="2:9" ht="18" customHeight="1" x14ac:dyDescent="0.25">
      <c r="B53" s="15" t="s">
        <v>58</v>
      </c>
      <c r="C53" s="15">
        <v>27.61</v>
      </c>
      <c r="D53" s="15">
        <v>28.36</v>
      </c>
      <c r="E53" s="15">
        <v>29.55</v>
      </c>
      <c r="F53" s="15">
        <v>39.93</v>
      </c>
      <c r="G53" s="15">
        <v>40.28</v>
      </c>
    </row>
    <row r="54" spans="2:9" ht="19.5" customHeight="1" x14ac:dyDescent="0.25">
      <c r="B54" s="15" t="s">
        <v>59</v>
      </c>
      <c r="C54" s="15">
        <v>72.39</v>
      </c>
      <c r="D54" s="15">
        <v>71.64</v>
      </c>
      <c r="E54" s="15">
        <v>70.45</v>
      </c>
      <c r="F54" s="15">
        <v>60.07</v>
      </c>
      <c r="G54" s="15">
        <v>59.72</v>
      </c>
    </row>
    <row r="55" spans="2:9" ht="19.5" customHeight="1" x14ac:dyDescent="0.25">
      <c r="B55" s="15" t="s">
        <v>60</v>
      </c>
      <c r="C55" s="14">
        <v>0.34</v>
      </c>
      <c r="D55" s="14">
        <v>0.3</v>
      </c>
      <c r="E55" s="14">
        <v>0.28999999999999998</v>
      </c>
      <c r="F55" s="14">
        <v>0.28999999999999998</v>
      </c>
      <c r="G55" s="14">
        <v>0.34</v>
      </c>
    </row>
    <row r="56" spans="2:9" ht="17.25" customHeight="1" x14ac:dyDescent="0.25">
      <c r="B56" s="15" t="s">
        <v>61</v>
      </c>
      <c r="C56" s="14">
        <v>17.43</v>
      </c>
      <c r="D56" s="14">
        <v>10.47</v>
      </c>
      <c r="E56" s="14">
        <v>16.87</v>
      </c>
      <c r="F56" s="14">
        <v>17.14</v>
      </c>
      <c r="G56" s="14">
        <v>16.32</v>
      </c>
    </row>
    <row r="58" spans="2:9" x14ac:dyDescent="0.25">
      <c r="I58" s="16"/>
    </row>
    <row r="59" spans="2:9" ht="21" x14ac:dyDescent="0.25">
      <c r="B59" s="25" t="s">
        <v>62</v>
      </c>
    </row>
    <row r="61" spans="2:9" ht="15.75" x14ac:dyDescent="0.25">
      <c r="B61" s="23"/>
      <c r="C61" s="23">
        <v>2012</v>
      </c>
      <c r="D61" s="23">
        <v>2013</v>
      </c>
      <c r="E61" s="23">
        <v>2014</v>
      </c>
      <c r="F61" s="23">
        <v>2015</v>
      </c>
      <c r="G61" s="23">
        <v>2016</v>
      </c>
    </row>
    <row r="62" spans="2:9" ht="15.75" x14ac:dyDescent="0.25">
      <c r="B62" s="23" t="s">
        <v>70</v>
      </c>
      <c r="C62" s="24">
        <v>26.92</v>
      </c>
      <c r="D62" s="24">
        <v>27.27</v>
      </c>
      <c r="E62" s="24">
        <v>28.33</v>
      </c>
      <c r="F62" s="24">
        <v>26.91</v>
      </c>
      <c r="G62" s="24">
        <v>25.81</v>
      </c>
    </row>
    <row r="63" spans="2:9" ht="15.75" x14ac:dyDescent="0.25">
      <c r="B63" s="23" t="s">
        <v>63</v>
      </c>
      <c r="C63" s="24">
        <v>60.7</v>
      </c>
      <c r="D63" s="24">
        <v>58.63</v>
      </c>
      <c r="E63" s="24">
        <v>58.75</v>
      </c>
      <c r="F63" s="24">
        <v>57.33</v>
      </c>
      <c r="G63" s="24">
        <v>56.4</v>
      </c>
    </row>
    <row r="64" spans="2:9" ht="15.75" x14ac:dyDescent="0.25">
      <c r="B64" s="23" t="s">
        <v>64</v>
      </c>
      <c r="C64" s="24">
        <v>68.63</v>
      </c>
      <c r="D64" s="24">
        <v>71.819999999999993</v>
      </c>
      <c r="E64" s="24">
        <v>74.09</v>
      </c>
      <c r="F64" s="24">
        <v>78.48</v>
      </c>
      <c r="G64" s="24">
        <v>97.5</v>
      </c>
    </row>
    <row r="65" spans="2:13" ht="15.75" x14ac:dyDescent="0.25">
      <c r="B65" s="23" t="s">
        <v>65</v>
      </c>
      <c r="C65" s="24">
        <v>18.989999999999998</v>
      </c>
      <c r="D65" s="24">
        <v>14.08</v>
      </c>
      <c r="E65" s="24">
        <v>12.99</v>
      </c>
      <c r="F65" s="24">
        <v>5.76</v>
      </c>
      <c r="G65" s="24">
        <v>-15.3</v>
      </c>
    </row>
    <row r="66" spans="2:13" ht="15.75" x14ac:dyDescent="0.25">
      <c r="B66" s="23" t="s">
        <v>66</v>
      </c>
      <c r="C66" s="24">
        <v>13.56</v>
      </c>
      <c r="D66" s="24">
        <v>13.39</v>
      </c>
      <c r="E66" s="24">
        <v>12.88</v>
      </c>
      <c r="F66" s="24">
        <v>13.56</v>
      </c>
      <c r="G66" s="24">
        <v>14.14</v>
      </c>
    </row>
    <row r="67" spans="2:13" ht="15.75" x14ac:dyDescent="0.25">
      <c r="B67" s="23" t="s">
        <v>67</v>
      </c>
      <c r="C67" s="24">
        <v>6.01</v>
      </c>
      <c r="D67" s="24">
        <v>6.23</v>
      </c>
      <c r="E67" s="24">
        <v>6.21</v>
      </c>
      <c r="F67" s="24">
        <v>6.37</v>
      </c>
      <c r="G67" s="24">
        <v>6.47</v>
      </c>
    </row>
    <row r="68" spans="2:13" ht="15.75" x14ac:dyDescent="0.25">
      <c r="B68" s="23" t="s">
        <v>68</v>
      </c>
      <c r="C68" s="24">
        <v>4.0199999999999996</v>
      </c>
      <c r="D68" s="24">
        <v>4</v>
      </c>
      <c r="E68" s="24">
        <v>3.78</v>
      </c>
      <c r="F68" s="24">
        <v>3.58</v>
      </c>
      <c r="G68" s="24">
        <v>3.29</v>
      </c>
    </row>
    <row r="69" spans="2:13" ht="15.75" x14ac:dyDescent="0.25">
      <c r="B69" s="23" t="s">
        <v>69</v>
      </c>
      <c r="C69" s="24">
        <v>0.62</v>
      </c>
      <c r="D69" s="24">
        <v>0.62</v>
      </c>
      <c r="E69" s="24">
        <v>0.59</v>
      </c>
      <c r="F69" s="24">
        <v>0.56000000000000005</v>
      </c>
      <c r="G69" s="24">
        <v>0.51</v>
      </c>
    </row>
    <row r="80" spans="2:13" x14ac:dyDescent="0.25"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</row>
  </sheetData>
  <mergeCells count="4">
    <mergeCell ref="B80:M80"/>
    <mergeCell ref="C4:G4"/>
    <mergeCell ref="K4:O4"/>
    <mergeCell ref="C48:G48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34"/>
  <sheetViews>
    <sheetView topLeftCell="D117" zoomScale="98" zoomScaleNormal="98" workbookViewId="0">
      <selection activeCell="F127" sqref="F127"/>
    </sheetView>
  </sheetViews>
  <sheetFormatPr defaultRowHeight="15" x14ac:dyDescent="0.25"/>
  <cols>
    <col min="2" max="2" width="10.140625" customWidth="1"/>
    <col min="3" max="3" width="10" customWidth="1"/>
    <col min="5" max="5" width="7.85546875" customWidth="1"/>
    <col min="6" max="6" width="9.42578125" customWidth="1"/>
    <col min="8" max="8" width="12.28515625" bestFit="1" customWidth="1"/>
  </cols>
  <sheetData>
    <row r="2" spans="1:8" ht="18.75" x14ac:dyDescent="0.3">
      <c r="A2" s="8" t="s">
        <v>96</v>
      </c>
      <c r="B2" s="9"/>
      <c r="C2" s="36">
        <v>2016</v>
      </c>
      <c r="D2" s="36">
        <v>2015</v>
      </c>
      <c r="E2" s="36">
        <v>2014</v>
      </c>
      <c r="F2" s="36">
        <v>2013</v>
      </c>
      <c r="G2" s="36">
        <v>2012</v>
      </c>
    </row>
    <row r="3" spans="1:8" x14ac:dyDescent="0.25">
      <c r="B3" s="9"/>
      <c r="C3" s="9"/>
      <c r="D3" s="9"/>
      <c r="E3" s="9"/>
      <c r="F3" s="9"/>
      <c r="G3" s="9"/>
    </row>
    <row r="4" spans="1:8" x14ac:dyDescent="0.25">
      <c r="B4" s="39" t="s">
        <v>97</v>
      </c>
      <c r="C4" s="40">
        <v>130.37</v>
      </c>
      <c r="D4" s="40">
        <v>106.63</v>
      </c>
      <c r="E4" s="40">
        <v>93.04</v>
      </c>
      <c r="F4" s="40">
        <v>62.61</v>
      </c>
      <c r="G4" s="40">
        <v>55.85</v>
      </c>
    </row>
    <row r="5" spans="1:8" x14ac:dyDescent="0.25">
      <c r="B5" s="36"/>
      <c r="C5" s="12">
        <f>((C4-$G$4)/$G$4)*100</f>
        <v>133.42882721575651</v>
      </c>
      <c r="D5" s="12">
        <f t="shared" ref="D5" si="0">((D4-$G$4)/$G$4)*100</f>
        <v>90.922112802148604</v>
      </c>
      <c r="E5" s="12">
        <f>((E4-$G$4)/$G$4)*100</f>
        <v>66.58907788719786</v>
      </c>
      <c r="F5" s="12">
        <f>((F4-$G$4)/$G$4)*100</f>
        <v>12.103849597135181</v>
      </c>
      <c r="G5" s="12">
        <v>0</v>
      </c>
    </row>
    <row r="6" spans="1:8" x14ac:dyDescent="0.25">
      <c r="B6" s="37" t="s">
        <v>102</v>
      </c>
      <c r="C6" s="38">
        <f t="shared" ref="C6:D6" si="1">C5-D5</f>
        <v>42.506714413607909</v>
      </c>
      <c r="D6" s="38">
        <f t="shared" si="1"/>
        <v>24.333034914950744</v>
      </c>
      <c r="E6" s="38">
        <f>E5-F5</f>
        <v>54.485228290062679</v>
      </c>
      <c r="F6" s="38">
        <f>F5-G5</f>
        <v>12.103849597135181</v>
      </c>
      <c r="G6" s="38">
        <v>0</v>
      </c>
      <c r="H6" s="44">
        <f>AVERAGE(C6:G6)</f>
        <v>26.685765443151304</v>
      </c>
    </row>
    <row r="7" spans="1:8" x14ac:dyDescent="0.25">
      <c r="B7" s="36"/>
      <c r="C7" s="9"/>
      <c r="D7" s="9"/>
      <c r="E7" s="9"/>
      <c r="F7" s="9"/>
      <c r="G7" s="9"/>
    </row>
    <row r="8" spans="1:8" x14ac:dyDescent="0.25">
      <c r="B8" s="39" t="s">
        <v>98</v>
      </c>
      <c r="C8" s="42">
        <v>58.42</v>
      </c>
      <c r="D8" s="42">
        <v>122.87</v>
      </c>
      <c r="E8" s="42">
        <v>115.87</v>
      </c>
      <c r="F8" s="42">
        <v>110.76</v>
      </c>
      <c r="G8" s="42">
        <v>99.73</v>
      </c>
    </row>
    <row r="9" spans="1:8" x14ac:dyDescent="0.25">
      <c r="B9" s="36"/>
      <c r="C9" s="15">
        <f t="shared" ref="C9:E9" si="2">((C8-$G$8)/$G$8)*100</f>
        <v>-41.421838965206057</v>
      </c>
      <c r="D9" s="15">
        <f t="shared" si="2"/>
        <v>23.202647147297704</v>
      </c>
      <c r="E9" s="15">
        <f t="shared" si="2"/>
        <v>16.183695979143689</v>
      </c>
      <c r="F9" s="15">
        <f>((F8-$G$8)/$G$8)*100</f>
        <v>11.059861626391257</v>
      </c>
      <c r="G9" s="15">
        <v>0</v>
      </c>
    </row>
    <row r="10" spans="1:8" x14ac:dyDescent="0.25">
      <c r="B10" s="37" t="s">
        <v>102</v>
      </c>
      <c r="C10" s="41">
        <f t="shared" ref="C10:E10" si="3">C9-D9</f>
        <v>-64.62448611250376</v>
      </c>
      <c r="D10" s="41">
        <f t="shared" si="3"/>
        <v>7.0189511681540147</v>
      </c>
      <c r="E10" s="41">
        <f t="shared" si="3"/>
        <v>5.1238343527524322</v>
      </c>
      <c r="F10" s="41">
        <f>F9-G9</f>
        <v>11.059861626391257</v>
      </c>
      <c r="G10" s="41">
        <v>0</v>
      </c>
      <c r="H10" s="45">
        <f>AVERAGE(C10:G10)</f>
        <v>-8.2843677930412092</v>
      </c>
    </row>
    <row r="11" spans="1:8" x14ac:dyDescent="0.25">
      <c r="B11" s="36"/>
      <c r="C11" s="9"/>
      <c r="D11" s="9"/>
      <c r="E11" s="9"/>
      <c r="F11" s="9"/>
      <c r="G11" s="9"/>
    </row>
    <row r="12" spans="1:8" x14ac:dyDescent="0.25">
      <c r="B12" s="39" t="s">
        <v>99</v>
      </c>
      <c r="C12" s="42">
        <v>18.87</v>
      </c>
      <c r="D12" s="42">
        <v>19.95</v>
      </c>
      <c r="E12" s="42">
        <v>17.88</v>
      </c>
      <c r="F12" s="42">
        <v>17.559999999999999</v>
      </c>
      <c r="G12" s="42">
        <v>12.46</v>
      </c>
    </row>
    <row r="13" spans="1:8" x14ac:dyDescent="0.25">
      <c r="B13" s="36"/>
      <c r="C13" s="15">
        <f t="shared" ref="C13:E13" si="4">((C12-$G$12)/$G$12)*100</f>
        <v>51.444622792937402</v>
      </c>
      <c r="D13" s="15">
        <f t="shared" si="4"/>
        <v>60.112359550561777</v>
      </c>
      <c r="E13" s="15">
        <f t="shared" si="4"/>
        <v>43.499197431781681</v>
      </c>
      <c r="F13" s="15">
        <f>((F12-$G$12)/$G$12)*100</f>
        <v>40.930979133226302</v>
      </c>
      <c r="G13" s="15">
        <v>0</v>
      </c>
    </row>
    <row r="14" spans="1:8" x14ac:dyDescent="0.25">
      <c r="B14" s="37" t="s">
        <v>102</v>
      </c>
      <c r="C14" s="41">
        <f t="shared" ref="C14:E14" si="5">C13-D13</f>
        <v>-8.6677367576243753</v>
      </c>
      <c r="D14" s="41">
        <f t="shared" si="5"/>
        <v>16.613162118780096</v>
      </c>
      <c r="E14" s="41">
        <f t="shared" si="5"/>
        <v>2.5682182985553794</v>
      </c>
      <c r="F14" s="41">
        <f>F13-G13</f>
        <v>40.930979133226302</v>
      </c>
      <c r="G14" s="41">
        <v>0</v>
      </c>
      <c r="H14" s="45">
        <f>AVERAGE(C14:G14)</f>
        <v>10.28892455858748</v>
      </c>
    </row>
    <row r="15" spans="1:8" x14ac:dyDescent="0.25">
      <c r="B15" s="36"/>
      <c r="C15" s="9"/>
      <c r="D15" s="9"/>
      <c r="E15" s="9"/>
      <c r="F15" s="9"/>
      <c r="G15" s="9"/>
    </row>
    <row r="16" spans="1:8" x14ac:dyDescent="0.25">
      <c r="B16" s="39" t="s">
        <v>100</v>
      </c>
      <c r="C16" s="43">
        <v>12.26</v>
      </c>
      <c r="D16" s="43">
        <v>12.05</v>
      </c>
      <c r="E16" s="43">
        <v>11.09</v>
      </c>
      <c r="F16" s="43">
        <v>9.4499999999999993</v>
      </c>
      <c r="G16" s="43">
        <v>7.93</v>
      </c>
    </row>
    <row r="17" spans="2:8" x14ac:dyDescent="0.25">
      <c r="B17" s="36"/>
      <c r="C17" s="9">
        <f t="shared" ref="C17:E17" si="6">((C16-$G$16)/$G$16)*100</f>
        <v>54.602774274905428</v>
      </c>
      <c r="D17" s="9">
        <f t="shared" si="6"/>
        <v>51.954602774274917</v>
      </c>
      <c r="E17" s="9">
        <f t="shared" si="6"/>
        <v>39.848675914249689</v>
      </c>
      <c r="F17" s="9">
        <f>((F16-$G$16)/$G$16)*100</f>
        <v>19.167717528373263</v>
      </c>
      <c r="G17" s="9">
        <v>0</v>
      </c>
    </row>
    <row r="18" spans="2:8" x14ac:dyDescent="0.25">
      <c r="B18" s="37" t="s">
        <v>102</v>
      </c>
      <c r="C18" s="19">
        <f t="shared" ref="C18:E18" si="7">C17-D17</f>
        <v>2.6481715006305109</v>
      </c>
      <c r="D18" s="19">
        <f t="shared" si="7"/>
        <v>12.105926860025228</v>
      </c>
      <c r="E18" s="19">
        <f t="shared" si="7"/>
        <v>20.680958385876426</v>
      </c>
      <c r="F18" s="19">
        <f>F17-G17</f>
        <v>19.167717528373263</v>
      </c>
      <c r="G18" s="19">
        <v>0</v>
      </c>
      <c r="H18" s="46">
        <f>AVERAGE(C18:G18)</f>
        <v>10.920554854981086</v>
      </c>
    </row>
    <row r="22" spans="2:8" ht="15.75" x14ac:dyDescent="0.25">
      <c r="D22" s="56" t="s">
        <v>96</v>
      </c>
      <c r="E22" s="56"/>
    </row>
    <row r="23" spans="2:8" x14ac:dyDescent="0.25">
      <c r="D23" s="50" t="s">
        <v>97</v>
      </c>
      <c r="E23" s="48">
        <v>26.685765443151304</v>
      </c>
    </row>
    <row r="24" spans="2:8" x14ac:dyDescent="0.25">
      <c r="D24" s="50" t="s">
        <v>98</v>
      </c>
      <c r="E24" s="49">
        <v>-8.2843677930412092</v>
      </c>
    </row>
    <row r="25" spans="2:8" x14ac:dyDescent="0.25">
      <c r="D25" s="50" t="s">
        <v>99</v>
      </c>
      <c r="E25" s="49">
        <v>10.28892455858748</v>
      </c>
    </row>
    <row r="26" spans="2:8" x14ac:dyDescent="0.25">
      <c r="D26" s="50" t="s">
        <v>100</v>
      </c>
      <c r="E26" s="47">
        <v>10.920554854981086</v>
      </c>
    </row>
    <row r="36" spans="1:8" ht="21.75" customHeight="1" x14ac:dyDescent="0.25">
      <c r="A36" s="51" t="s">
        <v>58</v>
      </c>
      <c r="B36" s="52"/>
      <c r="C36" s="52"/>
      <c r="D36" s="52"/>
    </row>
    <row r="38" spans="1:8" x14ac:dyDescent="0.25">
      <c r="B38" s="9"/>
      <c r="C38" s="36">
        <v>2016</v>
      </c>
      <c r="D38" s="36">
        <v>2015</v>
      </c>
      <c r="E38" s="36">
        <v>2014</v>
      </c>
      <c r="F38" s="36">
        <v>2013</v>
      </c>
      <c r="G38" s="36">
        <v>2012</v>
      </c>
    </row>
    <row r="39" spans="1:8" x14ac:dyDescent="0.25">
      <c r="B39" s="9"/>
      <c r="C39" s="9"/>
      <c r="D39" s="9"/>
      <c r="E39" s="9"/>
      <c r="F39" s="9"/>
      <c r="G39" s="9"/>
    </row>
    <row r="40" spans="1:8" x14ac:dyDescent="0.25">
      <c r="B40" s="39" t="s">
        <v>97</v>
      </c>
      <c r="C40" s="42">
        <v>27.61</v>
      </c>
      <c r="D40" s="42">
        <v>28.36</v>
      </c>
      <c r="E40" s="42">
        <v>29.55</v>
      </c>
      <c r="F40" s="42">
        <v>39.93</v>
      </c>
      <c r="G40" s="42">
        <v>40.28</v>
      </c>
    </row>
    <row r="41" spans="1:8" x14ac:dyDescent="0.25">
      <c r="B41" s="36"/>
      <c r="C41" s="12">
        <f t="shared" ref="C41:D41" si="8">((C40-$G$40)/$G$40)*100</f>
        <v>-31.454816285998017</v>
      </c>
      <c r="D41" s="12">
        <f t="shared" si="8"/>
        <v>-29.592850049652437</v>
      </c>
      <c r="E41" s="12">
        <f>((E40-$G$40)/$G$40)*100</f>
        <v>-26.638530287984114</v>
      </c>
      <c r="F41" s="12">
        <f>((F40-$G$40)/$G$40)*100</f>
        <v>-0.86891757696127458</v>
      </c>
      <c r="G41" s="12">
        <v>0</v>
      </c>
    </row>
    <row r="42" spans="1:8" x14ac:dyDescent="0.25">
      <c r="B42" s="37" t="s">
        <v>102</v>
      </c>
      <c r="C42" s="38">
        <f t="shared" ref="C42:E42" si="9">C41-D41</f>
        <v>-1.8619662363455802</v>
      </c>
      <c r="D42" s="38">
        <f t="shared" si="9"/>
        <v>-2.954319761668323</v>
      </c>
      <c r="E42" s="38">
        <f t="shared" si="9"/>
        <v>-25.769612711022841</v>
      </c>
      <c r="F42" s="38">
        <f>F41-G41</f>
        <v>-0.86891757696127458</v>
      </c>
      <c r="G42" s="38">
        <v>0</v>
      </c>
      <c r="H42" s="44">
        <f>AVERAGE(C42:G42)</f>
        <v>-6.2909632571996035</v>
      </c>
    </row>
    <row r="43" spans="1:8" x14ac:dyDescent="0.25">
      <c r="B43" s="36"/>
      <c r="C43" s="9"/>
      <c r="D43" s="9"/>
      <c r="E43" s="9"/>
      <c r="F43" s="9"/>
      <c r="G43" s="9"/>
    </row>
    <row r="44" spans="1:8" x14ac:dyDescent="0.25">
      <c r="B44" s="39" t="s">
        <v>98</v>
      </c>
      <c r="C44" s="42">
        <v>83.01</v>
      </c>
      <c r="D44" s="42">
        <v>51.27</v>
      </c>
      <c r="E44" s="42">
        <v>41.85</v>
      </c>
      <c r="F44" s="42">
        <v>43.78</v>
      </c>
      <c r="G44" s="42">
        <v>48.63</v>
      </c>
    </row>
    <row r="45" spans="1:8" x14ac:dyDescent="0.25">
      <c r="B45" s="36"/>
      <c r="C45" s="15">
        <f t="shared" ref="C45:E45" si="10">((C44-$G$44)/$G$44)*100</f>
        <v>70.697100555212828</v>
      </c>
      <c r="D45" s="15">
        <f t="shared" si="10"/>
        <v>5.4287476866132032</v>
      </c>
      <c r="E45" s="15">
        <f t="shared" si="10"/>
        <v>-13.942011104256633</v>
      </c>
      <c r="F45" s="15">
        <f>((F44-$G$44)/$G$44)*100</f>
        <v>-9.9732675303310749</v>
      </c>
      <c r="G45" s="15">
        <v>0</v>
      </c>
    </row>
    <row r="46" spans="1:8" x14ac:dyDescent="0.25">
      <c r="B46" s="37" t="s">
        <v>102</v>
      </c>
      <c r="C46" s="41">
        <f t="shared" ref="C46:E46" si="11">C45-D45</f>
        <v>65.268352868599621</v>
      </c>
      <c r="D46" s="41">
        <f t="shared" si="11"/>
        <v>19.370758790869836</v>
      </c>
      <c r="E46" s="41">
        <f t="shared" si="11"/>
        <v>-3.9687435739255577</v>
      </c>
      <c r="F46" s="41">
        <f>F45-G45</f>
        <v>-9.9732675303310749</v>
      </c>
      <c r="G46" s="41">
        <v>0</v>
      </c>
      <c r="H46" s="45">
        <f>AVERAGE(C46:G46)</f>
        <v>14.139420111042563</v>
      </c>
    </row>
    <row r="47" spans="1:8" x14ac:dyDescent="0.25">
      <c r="B47" s="36"/>
      <c r="C47" s="9"/>
      <c r="D47" s="9"/>
      <c r="E47" s="9"/>
      <c r="F47" s="9"/>
      <c r="G47" s="9"/>
    </row>
    <row r="48" spans="1:8" x14ac:dyDescent="0.25">
      <c r="B48" s="39" t="s">
        <v>99</v>
      </c>
      <c r="C48" s="42">
        <v>84.8</v>
      </c>
      <c r="D48" s="42">
        <v>75.2</v>
      </c>
      <c r="E48" s="42">
        <v>72.69</v>
      </c>
      <c r="F48" s="42">
        <v>105.35</v>
      </c>
      <c r="G48" s="42">
        <v>60.22</v>
      </c>
    </row>
    <row r="49" spans="2:8" x14ac:dyDescent="0.25">
      <c r="B49" s="36"/>
      <c r="C49" s="15">
        <f t="shared" ref="C49:E49" si="12">((C48-$G$48)/$G$48)*100</f>
        <v>40.817004317502487</v>
      </c>
      <c r="D49" s="15">
        <f t="shared" si="12"/>
        <v>24.875456658917312</v>
      </c>
      <c r="E49" s="15">
        <f t="shared" si="12"/>
        <v>20.707406177349714</v>
      </c>
      <c r="F49" s="15">
        <f>((F48-$G$48)/$G$48)*100</f>
        <v>74.941879774161407</v>
      </c>
      <c r="G49" s="15">
        <v>0</v>
      </c>
    </row>
    <row r="50" spans="2:8" x14ac:dyDescent="0.25">
      <c r="B50" s="37" t="s">
        <v>102</v>
      </c>
      <c r="C50" s="41">
        <f t="shared" ref="C50:E50" si="13">C49-D49</f>
        <v>15.941547658585176</v>
      </c>
      <c r="D50" s="41">
        <f t="shared" si="13"/>
        <v>4.1680504815675974</v>
      </c>
      <c r="E50" s="41">
        <f t="shared" si="13"/>
        <v>-54.234473596811696</v>
      </c>
      <c r="F50" s="41">
        <f>F49-G49</f>
        <v>74.941879774161407</v>
      </c>
      <c r="G50" s="41">
        <v>0</v>
      </c>
      <c r="H50" s="45">
        <f>AVERAGE(C50:G50)</f>
        <v>8.1634008635004953</v>
      </c>
    </row>
    <row r="51" spans="2:8" x14ac:dyDescent="0.25">
      <c r="B51" s="36"/>
      <c r="C51" s="9"/>
      <c r="D51" s="9"/>
      <c r="E51" s="9"/>
      <c r="F51" s="9"/>
      <c r="G51" s="9"/>
    </row>
    <row r="52" spans="2:8" x14ac:dyDescent="0.25">
      <c r="B52" s="39" t="s">
        <v>100</v>
      </c>
      <c r="C52" s="43">
        <v>69.48</v>
      </c>
      <c r="D52" s="43">
        <v>52.14</v>
      </c>
      <c r="E52" s="43">
        <v>54.31</v>
      </c>
      <c r="F52" s="43">
        <v>55.92</v>
      </c>
      <c r="G52" s="43">
        <v>57.09</v>
      </c>
    </row>
    <row r="53" spans="2:8" x14ac:dyDescent="0.25">
      <c r="B53" s="36"/>
      <c r="C53" s="9">
        <f t="shared" ref="C53:E53" si="14">((C52-$G$52)/$G$52)*100</f>
        <v>21.702574881765631</v>
      </c>
      <c r="D53" s="9">
        <f t="shared" si="14"/>
        <v>-8.6705202312138763</v>
      </c>
      <c r="E53" s="9">
        <f t="shared" si="14"/>
        <v>-4.8695042914696112</v>
      </c>
      <c r="F53" s="9">
        <f>((F52-$G$52)/$G$52)*100</f>
        <v>-2.0493956910141908</v>
      </c>
      <c r="G53" s="9">
        <v>0</v>
      </c>
    </row>
    <row r="54" spans="2:8" x14ac:dyDescent="0.25">
      <c r="B54" s="37" t="s">
        <v>102</v>
      </c>
      <c r="C54" s="19">
        <f t="shared" ref="C54:E54" si="15">C53-D53</f>
        <v>30.373095112979506</v>
      </c>
      <c r="D54" s="19">
        <f t="shared" si="15"/>
        <v>-3.8010159397442651</v>
      </c>
      <c r="E54" s="19">
        <f t="shared" si="15"/>
        <v>-2.8201086004554203</v>
      </c>
      <c r="F54" s="19">
        <f>F53-G53</f>
        <v>-2.0493956910141908</v>
      </c>
      <c r="G54" s="19">
        <v>0</v>
      </c>
      <c r="H54" s="46">
        <f>AVERAGE(C54:G54)</f>
        <v>4.3405149763531261</v>
      </c>
    </row>
    <row r="58" spans="2:8" ht="15.75" x14ac:dyDescent="0.25">
      <c r="C58" s="56" t="s">
        <v>103</v>
      </c>
      <c r="D58" s="56"/>
    </row>
    <row r="59" spans="2:8" x14ac:dyDescent="0.25">
      <c r="C59" s="50" t="s">
        <v>97</v>
      </c>
      <c r="D59" s="38">
        <v>-6.2909632571996035</v>
      </c>
    </row>
    <row r="60" spans="2:8" x14ac:dyDescent="0.25">
      <c r="C60" s="50" t="s">
        <v>98</v>
      </c>
      <c r="D60" s="41">
        <v>14.139420111042563</v>
      </c>
    </row>
    <row r="61" spans="2:8" x14ac:dyDescent="0.25">
      <c r="C61" s="50" t="s">
        <v>99</v>
      </c>
      <c r="D61" s="41">
        <v>8.1634008635004953</v>
      </c>
    </row>
    <row r="62" spans="2:8" x14ac:dyDescent="0.25">
      <c r="C62" s="50" t="s">
        <v>100</v>
      </c>
      <c r="D62" s="19">
        <v>4.3405149763531261</v>
      </c>
    </row>
    <row r="71" spans="2:8" ht="30" customHeight="1" x14ac:dyDescent="0.25">
      <c r="B71" s="57" t="s">
        <v>61</v>
      </c>
      <c r="C71" s="58"/>
      <c r="D71" s="58"/>
    </row>
    <row r="73" spans="2:8" x14ac:dyDescent="0.25">
      <c r="B73" s="9"/>
      <c r="C73" s="36">
        <v>2016</v>
      </c>
      <c r="D73" s="36">
        <v>2015</v>
      </c>
      <c r="E73" s="36">
        <v>2014</v>
      </c>
      <c r="F73" s="36">
        <v>2013</v>
      </c>
      <c r="G73" s="36">
        <v>2012</v>
      </c>
    </row>
    <row r="74" spans="2:8" x14ac:dyDescent="0.25">
      <c r="B74" s="9"/>
      <c r="C74" s="9"/>
      <c r="D74" s="9"/>
      <c r="E74" s="9"/>
      <c r="F74" s="9"/>
      <c r="G74" s="9"/>
    </row>
    <row r="75" spans="2:8" x14ac:dyDescent="0.25">
      <c r="B75" s="39" t="s">
        <v>97</v>
      </c>
      <c r="C75" s="42">
        <v>17.43</v>
      </c>
      <c r="D75" s="42">
        <v>10.47</v>
      </c>
      <c r="E75" s="42">
        <v>16.87</v>
      </c>
      <c r="F75" s="42">
        <v>17.14</v>
      </c>
      <c r="G75" s="42">
        <v>16.32</v>
      </c>
    </row>
    <row r="76" spans="2:8" x14ac:dyDescent="0.25">
      <c r="B76" s="36"/>
      <c r="C76" s="12">
        <f t="shared" ref="C76:E76" si="16">((C75-$G$75)/$G$75)*100</f>
        <v>6.8014705882352908</v>
      </c>
      <c r="D76" s="12">
        <f t="shared" si="16"/>
        <v>-35.845588235294116</v>
      </c>
      <c r="E76" s="12">
        <f t="shared" si="16"/>
        <v>3.3700980392156903</v>
      </c>
      <c r="F76" s="12">
        <f>((F75-$G$75)/$G$75)*100</f>
        <v>5.0245098039215703</v>
      </c>
      <c r="G76" s="12">
        <v>0</v>
      </c>
    </row>
    <row r="77" spans="2:8" x14ac:dyDescent="0.25">
      <c r="B77" s="37" t="s">
        <v>102</v>
      </c>
      <c r="C77" s="38">
        <f t="shared" ref="C77:E77" si="17">C76-D76</f>
        <v>42.647058823529406</v>
      </c>
      <c r="D77" s="38">
        <f t="shared" si="17"/>
        <v>-39.215686274509807</v>
      </c>
      <c r="E77" s="38">
        <f t="shared" si="17"/>
        <v>-1.65441176470588</v>
      </c>
      <c r="F77" s="38">
        <f>F76-G76</f>
        <v>5.0245098039215703</v>
      </c>
      <c r="G77" s="38">
        <v>0</v>
      </c>
      <c r="H77" s="44">
        <f>AVERAGE(C77:G77)</f>
        <v>1.360294117647058</v>
      </c>
    </row>
    <row r="78" spans="2:8" x14ac:dyDescent="0.25">
      <c r="B78" s="36"/>
      <c r="C78" s="9"/>
      <c r="D78" s="9"/>
      <c r="E78" s="9"/>
      <c r="F78" s="9"/>
      <c r="G78" s="9"/>
    </row>
    <row r="79" spans="2:8" x14ac:dyDescent="0.25">
      <c r="B79" s="39" t="s">
        <v>98</v>
      </c>
      <c r="C79" s="42">
        <v>19.98</v>
      </c>
      <c r="D79" s="42">
        <v>41.75</v>
      </c>
      <c r="E79" s="42">
        <v>47.16</v>
      </c>
      <c r="F79" s="42">
        <v>59.38</v>
      </c>
      <c r="G79" s="42">
        <v>75.47</v>
      </c>
    </row>
    <row r="80" spans="2:8" x14ac:dyDescent="0.25">
      <c r="B80" s="36"/>
      <c r="C80" s="15">
        <f t="shared" ref="C80:E80" si="18">((C79-$G$79)/$G$79)*100</f>
        <v>-73.525904332847475</v>
      </c>
      <c r="D80" s="15">
        <f t="shared" si="18"/>
        <v>-44.680005300119255</v>
      </c>
      <c r="E80" s="15">
        <f t="shared" si="18"/>
        <v>-37.511594010865245</v>
      </c>
      <c r="F80" s="15">
        <f>((F79-$G$79)/$G$79)*100</f>
        <v>-21.319729693918106</v>
      </c>
      <c r="G80" s="15">
        <v>0</v>
      </c>
    </row>
    <row r="81" spans="2:8" x14ac:dyDescent="0.25">
      <c r="B81" s="37" t="s">
        <v>102</v>
      </c>
      <c r="C81" s="41">
        <f t="shared" ref="C81:E81" si="19">C80-D80</f>
        <v>-28.845899032728219</v>
      </c>
      <c r="D81" s="41">
        <f t="shared" si="19"/>
        <v>-7.1684112892540099</v>
      </c>
      <c r="E81" s="41">
        <f t="shared" si="19"/>
        <v>-16.191864316947139</v>
      </c>
      <c r="F81" s="41">
        <f>F80-G80</f>
        <v>-21.319729693918106</v>
      </c>
      <c r="G81" s="41">
        <v>0</v>
      </c>
      <c r="H81" s="45">
        <f>AVERAGE(C81:G81)</f>
        <v>-14.705180866569496</v>
      </c>
    </row>
    <row r="82" spans="2:8" x14ac:dyDescent="0.25">
      <c r="B82" s="36"/>
      <c r="C82" s="9"/>
      <c r="D82" s="9"/>
      <c r="E82" s="9"/>
      <c r="F82" s="9"/>
      <c r="G82" s="9"/>
    </row>
    <row r="83" spans="2:8" x14ac:dyDescent="0.25">
      <c r="B83" s="39" t="s">
        <v>99</v>
      </c>
      <c r="C83" s="42">
        <v>110.73</v>
      </c>
      <c r="D83" s="42">
        <v>115.87</v>
      </c>
      <c r="E83" s="42">
        <v>118.04</v>
      </c>
      <c r="F83" s="42">
        <v>142.01</v>
      </c>
      <c r="G83" s="42">
        <v>76.62</v>
      </c>
    </row>
    <row r="84" spans="2:8" x14ac:dyDescent="0.25">
      <c r="B84" s="36"/>
      <c r="C84" s="15">
        <f t="shared" ref="C84:E84" si="20">((C83-$G$83)/$G$83)*100</f>
        <v>44.518402505873141</v>
      </c>
      <c r="D84" s="15">
        <f t="shared" si="20"/>
        <v>51.226833724876009</v>
      </c>
      <c r="E84" s="15">
        <f t="shared" si="20"/>
        <v>54.058992430174889</v>
      </c>
      <c r="F84" s="15">
        <f>((F83-$G$83)/$G$83)*100</f>
        <v>85.343252414513159</v>
      </c>
      <c r="G84" s="15">
        <v>0</v>
      </c>
    </row>
    <row r="85" spans="2:8" x14ac:dyDescent="0.25">
      <c r="B85" s="37" t="s">
        <v>102</v>
      </c>
      <c r="C85" s="41">
        <f t="shared" ref="C85:E85" si="21">C84-D84</f>
        <v>-6.7084312190028683</v>
      </c>
      <c r="D85" s="41">
        <f t="shared" si="21"/>
        <v>-2.8321587052988804</v>
      </c>
      <c r="E85" s="41">
        <f t="shared" si="21"/>
        <v>-31.28425998433827</v>
      </c>
      <c r="F85" s="41">
        <f>F84-G84</f>
        <v>85.343252414513159</v>
      </c>
      <c r="G85" s="41">
        <v>0</v>
      </c>
      <c r="H85" s="45">
        <f>AVERAGE(C85:G85)</f>
        <v>8.9036805011746285</v>
      </c>
    </row>
    <row r="86" spans="2:8" x14ac:dyDescent="0.25">
      <c r="B86" s="36"/>
      <c r="C86" s="9"/>
      <c r="D86" s="9"/>
      <c r="E86" s="9"/>
      <c r="F86" s="9"/>
      <c r="G86" s="9"/>
    </row>
    <row r="87" spans="2:8" x14ac:dyDescent="0.25">
      <c r="B87" s="39" t="s">
        <v>100</v>
      </c>
      <c r="C87" s="43">
        <v>29.94</v>
      </c>
      <c r="D87" s="43">
        <v>31.31</v>
      </c>
      <c r="E87" s="43">
        <v>33.51</v>
      </c>
      <c r="F87" s="43">
        <v>33.36</v>
      </c>
      <c r="G87" s="43">
        <v>32.880000000000003</v>
      </c>
    </row>
    <row r="88" spans="2:8" x14ac:dyDescent="0.25">
      <c r="B88" s="36"/>
      <c r="C88" s="9">
        <f t="shared" ref="C88:E88" si="22">((C87-$G$87)/$G$87)*100</f>
        <v>-8.9416058394160611</v>
      </c>
      <c r="D88" s="9">
        <f t="shared" si="22"/>
        <v>-4.774939172749403</v>
      </c>
      <c r="E88" s="9">
        <f t="shared" si="22"/>
        <v>1.9160583941605698</v>
      </c>
      <c r="F88" s="9">
        <f>((F87-$G$87)/$G$87)*100</f>
        <v>1.4598540145985306</v>
      </c>
      <c r="G88" s="9">
        <v>0</v>
      </c>
    </row>
    <row r="89" spans="2:8" x14ac:dyDescent="0.25">
      <c r="B89" s="37" t="s">
        <v>102</v>
      </c>
      <c r="C89" s="19">
        <f t="shared" ref="C89:E89" si="23">C88-D88</f>
        <v>-4.1666666666666581</v>
      </c>
      <c r="D89" s="19">
        <f t="shared" si="23"/>
        <v>-6.6909975669099726</v>
      </c>
      <c r="E89" s="19">
        <f t="shared" si="23"/>
        <v>0.45620437956203919</v>
      </c>
      <c r="F89" s="19">
        <f>F88-G88</f>
        <v>1.4598540145985306</v>
      </c>
      <c r="G89" s="19">
        <v>0</v>
      </c>
      <c r="H89" s="46">
        <f>AVERAGE(C89:G89)</f>
        <v>-1.7883211678832125</v>
      </c>
    </row>
    <row r="96" spans="2:8" ht="15.75" x14ac:dyDescent="0.25">
      <c r="C96" s="56" t="s">
        <v>104</v>
      </c>
      <c r="D96" s="56"/>
    </row>
    <row r="97" spans="2:8" x14ac:dyDescent="0.25">
      <c r="C97" s="50" t="s">
        <v>97</v>
      </c>
      <c r="D97" s="38">
        <v>1.360294117647058</v>
      </c>
    </row>
    <row r="98" spans="2:8" x14ac:dyDescent="0.25">
      <c r="C98" s="50" t="s">
        <v>98</v>
      </c>
      <c r="D98" s="41">
        <v>-14.705180866569496</v>
      </c>
    </row>
    <row r="99" spans="2:8" x14ac:dyDescent="0.25">
      <c r="C99" s="50" t="s">
        <v>99</v>
      </c>
      <c r="D99" s="41">
        <v>8.9036805011746285</v>
      </c>
    </row>
    <row r="100" spans="2:8" x14ac:dyDescent="0.25">
      <c r="C100" s="50" t="s">
        <v>100</v>
      </c>
      <c r="D100" s="19">
        <v>-1.7883211678832125</v>
      </c>
    </row>
    <row r="105" spans="2:8" ht="27" customHeight="1" x14ac:dyDescent="0.25">
      <c r="B105" s="57" t="s">
        <v>56</v>
      </c>
      <c r="C105" s="58"/>
      <c r="D105" s="58"/>
    </row>
    <row r="107" spans="2:8" x14ac:dyDescent="0.25">
      <c r="B107" s="9"/>
      <c r="C107" s="36">
        <v>2016</v>
      </c>
      <c r="D107" s="36">
        <v>2015</v>
      </c>
      <c r="E107" s="36">
        <v>2014</v>
      </c>
      <c r="F107" s="36">
        <v>2013</v>
      </c>
      <c r="G107" s="36">
        <v>2012</v>
      </c>
    </row>
    <row r="108" spans="2:8" x14ac:dyDescent="0.25">
      <c r="B108" s="9"/>
      <c r="C108" s="9"/>
      <c r="D108" s="9"/>
      <c r="E108" s="9"/>
      <c r="F108" s="9"/>
      <c r="G108" s="9"/>
    </row>
    <row r="109" spans="2:8" x14ac:dyDescent="0.25">
      <c r="B109" s="39" t="s">
        <v>97</v>
      </c>
      <c r="C109" s="42">
        <v>17.03</v>
      </c>
      <c r="D109" s="42">
        <v>14.83</v>
      </c>
      <c r="E109" s="42">
        <v>14.72</v>
      </c>
      <c r="F109" s="42">
        <v>12.04</v>
      </c>
      <c r="G109" s="42">
        <v>13.97</v>
      </c>
    </row>
    <row r="110" spans="2:8" x14ac:dyDescent="0.25">
      <c r="B110" s="36"/>
      <c r="C110" s="12">
        <f t="shared" ref="C110:E110" si="24">((C109-$G$109)/$G$109)*100</f>
        <v>21.904080171796711</v>
      </c>
      <c r="D110" s="12">
        <f t="shared" si="24"/>
        <v>6.156048675733711</v>
      </c>
      <c r="E110" s="12">
        <f t="shared" si="24"/>
        <v>5.3686471009305654</v>
      </c>
      <c r="F110" s="12">
        <f>((F109-$G$109)/$G$109)*100</f>
        <v>-13.815318539728001</v>
      </c>
      <c r="G110" s="12">
        <v>0</v>
      </c>
    </row>
    <row r="111" spans="2:8" x14ac:dyDescent="0.25">
      <c r="B111" s="37" t="s">
        <v>102</v>
      </c>
      <c r="C111" s="38">
        <f t="shared" ref="C111:E111" si="25">C110-D110</f>
        <v>15.748031496063</v>
      </c>
      <c r="D111" s="38">
        <f t="shared" si="25"/>
        <v>0.78740157480314554</v>
      </c>
      <c r="E111" s="38">
        <f t="shared" si="25"/>
        <v>19.183965640658567</v>
      </c>
      <c r="F111" s="38">
        <f>F110-G110</f>
        <v>-13.815318539728001</v>
      </c>
      <c r="G111" s="38">
        <v>0</v>
      </c>
      <c r="H111" s="44">
        <f>AVERAGE(C111:G111)</f>
        <v>4.3808160343593423</v>
      </c>
    </row>
    <row r="112" spans="2:8" x14ac:dyDescent="0.25">
      <c r="B112" s="36"/>
      <c r="C112" s="9"/>
      <c r="D112" s="9"/>
      <c r="E112" s="9"/>
      <c r="F112" s="9"/>
      <c r="G112" s="9"/>
    </row>
    <row r="113" spans="2:8" x14ac:dyDescent="0.25">
      <c r="B113" s="39" t="s">
        <v>98</v>
      </c>
      <c r="C113" s="42">
        <v>6.88</v>
      </c>
      <c r="D113" s="42">
        <v>12.02</v>
      </c>
      <c r="E113" s="42">
        <v>12.27</v>
      </c>
      <c r="F113" s="42">
        <v>12.81</v>
      </c>
      <c r="G113" s="42">
        <v>12.79</v>
      </c>
    </row>
    <row r="114" spans="2:8" x14ac:dyDescent="0.25">
      <c r="B114" s="36"/>
      <c r="C114" s="15">
        <f t="shared" ref="C114:E114" si="26">((C113-$G$113)/$G$113)*100</f>
        <v>-46.207974980453479</v>
      </c>
      <c r="D114" s="15">
        <f t="shared" si="26"/>
        <v>-6.0203283815480821</v>
      </c>
      <c r="E114" s="15">
        <f t="shared" si="26"/>
        <v>-4.0656763096168849</v>
      </c>
      <c r="F114" s="15">
        <f>((F113-$G$113)/$G$113)*100</f>
        <v>0.15637216575450627</v>
      </c>
      <c r="G114" s="15">
        <v>0</v>
      </c>
    </row>
    <row r="115" spans="2:8" x14ac:dyDescent="0.25">
      <c r="B115" s="37" t="s">
        <v>102</v>
      </c>
      <c r="C115" s="41">
        <f t="shared" ref="C115:E115" si="27">C114-D114</f>
        <v>-40.187646598905395</v>
      </c>
      <c r="D115" s="41">
        <f t="shared" si="27"/>
        <v>-1.9546520719311973</v>
      </c>
      <c r="E115" s="41">
        <f t="shared" si="27"/>
        <v>-4.2220484753713912</v>
      </c>
      <c r="F115" s="41">
        <f>F114-G114</f>
        <v>0.15637216575450627</v>
      </c>
      <c r="G115" s="41">
        <v>0</v>
      </c>
      <c r="H115" s="45">
        <f>AVERAGE(C115:G115)</f>
        <v>-9.2415949960906971</v>
      </c>
    </row>
    <row r="116" spans="2:8" x14ac:dyDescent="0.25">
      <c r="B116" s="36"/>
      <c r="C116" s="9"/>
      <c r="D116" s="9"/>
      <c r="E116" s="9"/>
      <c r="F116" s="9"/>
      <c r="G116" s="9"/>
    </row>
    <row r="117" spans="2:8" x14ac:dyDescent="0.25">
      <c r="B117" s="39" t="s">
        <v>99</v>
      </c>
      <c r="C117" s="42">
        <v>12.76</v>
      </c>
      <c r="D117" s="42">
        <v>14</v>
      </c>
      <c r="E117" s="42">
        <v>13.8</v>
      </c>
      <c r="F117" s="42">
        <v>14.7</v>
      </c>
      <c r="G117" s="42">
        <v>12.16</v>
      </c>
    </row>
    <row r="118" spans="2:8" x14ac:dyDescent="0.25">
      <c r="B118" s="36"/>
      <c r="C118" s="15">
        <f t="shared" ref="C118:E118" si="28">((C117-$G$117)/$G$117)*100</f>
        <v>4.9342105263157867</v>
      </c>
      <c r="D118" s="15">
        <f t="shared" si="28"/>
        <v>15.131578947368421</v>
      </c>
      <c r="E118" s="15">
        <f t="shared" si="28"/>
        <v>13.486842105263165</v>
      </c>
      <c r="F118" s="15">
        <f>((F117-$G$117)/$G$117)*100</f>
        <v>20.888157894736832</v>
      </c>
      <c r="G118" s="15">
        <v>0</v>
      </c>
    </row>
    <row r="119" spans="2:8" x14ac:dyDescent="0.25">
      <c r="B119" s="37" t="s">
        <v>102</v>
      </c>
      <c r="C119" s="41">
        <f t="shared" ref="C119:E119" si="29">C118-D118</f>
        <v>-10.197368421052634</v>
      </c>
      <c r="D119" s="41">
        <f t="shared" si="29"/>
        <v>1.6447368421052566</v>
      </c>
      <c r="E119" s="41">
        <f t="shared" si="29"/>
        <v>-7.4013157894736672</v>
      </c>
      <c r="F119" s="41">
        <f>F118-G118</f>
        <v>20.888157894736832</v>
      </c>
      <c r="G119" s="41">
        <v>0</v>
      </c>
      <c r="H119" s="45">
        <f>AVERAGE(C119:G119)</f>
        <v>0.98684210526315752</v>
      </c>
    </row>
    <row r="120" spans="2:8" x14ac:dyDescent="0.25">
      <c r="B120" s="36"/>
      <c r="C120" s="9"/>
      <c r="D120" s="9"/>
      <c r="E120" s="9"/>
      <c r="F120" s="9"/>
      <c r="G120" s="9"/>
    </row>
    <row r="121" spans="2:8" x14ac:dyDescent="0.25">
      <c r="B121" s="39" t="s">
        <v>100</v>
      </c>
      <c r="C121" s="43">
        <v>26.72</v>
      </c>
      <c r="D121" s="43">
        <v>26.31</v>
      </c>
      <c r="E121" s="43">
        <v>26.43</v>
      </c>
      <c r="F121" s="43">
        <v>24.8</v>
      </c>
      <c r="G121" s="43">
        <v>24.47</v>
      </c>
    </row>
    <row r="122" spans="2:8" x14ac:dyDescent="0.25">
      <c r="B122" s="36"/>
      <c r="C122" s="9">
        <f t="shared" ref="C122:E122" si="30">((C121-$G$121)/$G$121)*100</f>
        <v>9.1949325704944833</v>
      </c>
      <c r="D122" s="9">
        <f t="shared" si="30"/>
        <v>7.5194115243154878</v>
      </c>
      <c r="E122" s="9">
        <f t="shared" si="30"/>
        <v>8.0098079280751975</v>
      </c>
      <c r="F122" s="9">
        <f>((F121-$G$121)/$G$121)*100</f>
        <v>1.3485901103391984</v>
      </c>
      <c r="G122" s="9">
        <v>0</v>
      </c>
    </row>
    <row r="123" spans="2:8" x14ac:dyDescent="0.25">
      <c r="B123" s="37" t="s">
        <v>102</v>
      </c>
      <c r="C123" s="19">
        <f t="shared" ref="C123:E123" si="31">C122-D122</f>
        <v>1.6755210461789956</v>
      </c>
      <c r="D123" s="19">
        <f t="shared" si="31"/>
        <v>-0.49039640375970972</v>
      </c>
      <c r="E123" s="19">
        <f t="shared" si="31"/>
        <v>6.6612178177359986</v>
      </c>
      <c r="F123" s="19">
        <f>F122-G122</f>
        <v>1.3485901103391984</v>
      </c>
      <c r="G123" s="19">
        <v>0</v>
      </c>
      <c r="H123" s="46">
        <f>AVERAGE(C123:G123)</f>
        <v>1.8389865140988966</v>
      </c>
    </row>
    <row r="130" spans="3:4" ht="15.75" x14ac:dyDescent="0.25">
      <c r="C130" s="56" t="s">
        <v>105</v>
      </c>
      <c r="D130" s="56"/>
    </row>
    <row r="131" spans="3:4" x14ac:dyDescent="0.25">
      <c r="C131" s="50" t="s">
        <v>97</v>
      </c>
      <c r="D131" s="38">
        <v>4.3808160343593423</v>
      </c>
    </row>
    <row r="132" spans="3:4" x14ac:dyDescent="0.25">
      <c r="C132" s="50" t="s">
        <v>98</v>
      </c>
      <c r="D132" s="41">
        <v>-9.2415949960906971</v>
      </c>
    </row>
    <row r="133" spans="3:4" x14ac:dyDescent="0.25">
      <c r="C133" s="50" t="s">
        <v>99</v>
      </c>
      <c r="D133" s="41">
        <v>0.98684210526315752</v>
      </c>
    </row>
    <row r="134" spans="3:4" x14ac:dyDescent="0.25">
      <c r="C134" s="50" t="s">
        <v>100</v>
      </c>
      <c r="D134" s="19">
        <v>1.8389865140988966</v>
      </c>
    </row>
  </sheetData>
  <mergeCells count="6">
    <mergeCell ref="C96:D96"/>
    <mergeCell ref="B105:D105"/>
    <mergeCell ref="C130:D130"/>
    <mergeCell ref="D22:E22"/>
    <mergeCell ref="C58:D58"/>
    <mergeCell ref="B71:D71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3:H79"/>
  <sheetViews>
    <sheetView tabSelected="1" topLeftCell="A50" workbookViewId="0">
      <selection activeCell="C43" sqref="C43:H57"/>
    </sheetView>
  </sheetViews>
  <sheetFormatPr defaultRowHeight="15" x14ac:dyDescent="0.25"/>
  <cols>
    <col min="3" max="3" width="18.140625" customWidth="1"/>
    <col min="4" max="4" width="11.7109375" customWidth="1"/>
    <col min="5" max="5" width="14.28515625" customWidth="1"/>
    <col min="6" max="6" width="12.140625" customWidth="1"/>
    <col min="7" max="7" width="13.7109375" customWidth="1"/>
    <col min="8" max="8" width="27.42578125" customWidth="1"/>
  </cols>
  <sheetData>
    <row r="43" spans="3:8" ht="15.75" x14ac:dyDescent="0.25">
      <c r="C43" s="12"/>
      <c r="D43" s="60" t="s">
        <v>98</v>
      </c>
      <c r="E43" s="60" t="s">
        <v>100</v>
      </c>
      <c r="F43" s="60" t="s">
        <v>97</v>
      </c>
      <c r="G43" s="60" t="s">
        <v>99</v>
      </c>
      <c r="H43" s="61" t="s">
        <v>117</v>
      </c>
    </row>
    <row r="44" spans="3:8" x14ac:dyDescent="0.25">
      <c r="C44" s="12"/>
      <c r="D44" s="12"/>
      <c r="E44" s="12"/>
      <c r="F44" s="12"/>
      <c r="G44" s="12"/>
      <c r="H44" s="35"/>
    </row>
    <row r="45" spans="3:8" ht="30.75" customHeight="1" x14ac:dyDescent="0.25">
      <c r="C45" s="60" t="s">
        <v>106</v>
      </c>
      <c r="D45" s="14" t="s">
        <v>114</v>
      </c>
      <c r="E45" s="14" t="s">
        <v>113</v>
      </c>
      <c r="F45" s="14" t="s">
        <v>115</v>
      </c>
      <c r="G45" s="14" t="s">
        <v>116</v>
      </c>
      <c r="H45" s="35"/>
    </row>
    <row r="46" spans="3:8" ht="15.75" x14ac:dyDescent="0.25">
      <c r="C46" s="60"/>
      <c r="D46" s="12"/>
      <c r="E46" s="12"/>
      <c r="F46" s="12"/>
      <c r="G46" s="12"/>
      <c r="H46" s="35"/>
    </row>
    <row r="47" spans="3:8" ht="30" x14ac:dyDescent="0.25">
      <c r="C47" s="60" t="s">
        <v>107</v>
      </c>
      <c r="D47" s="12">
        <v>64.39</v>
      </c>
      <c r="E47" s="12">
        <v>33.81</v>
      </c>
      <c r="F47" s="12">
        <v>51.46</v>
      </c>
      <c r="G47" s="12">
        <v>46.87</v>
      </c>
      <c r="H47" s="14" t="s">
        <v>118</v>
      </c>
    </row>
    <row r="48" spans="3:8" ht="15.75" x14ac:dyDescent="0.25">
      <c r="C48" s="60"/>
      <c r="D48" s="12"/>
      <c r="E48" s="12"/>
      <c r="F48" s="12"/>
      <c r="G48" s="12"/>
      <c r="H48" s="35"/>
    </row>
    <row r="49" spans="3:8" ht="30" x14ac:dyDescent="0.25">
      <c r="C49" s="60" t="s">
        <v>108</v>
      </c>
      <c r="D49" s="12">
        <v>47.51</v>
      </c>
      <c r="E49" s="12">
        <v>33.99</v>
      </c>
      <c r="F49" s="12">
        <v>47.59</v>
      </c>
      <c r="G49" s="12">
        <v>47.59</v>
      </c>
      <c r="H49" s="62" t="s">
        <v>119</v>
      </c>
    </row>
    <row r="50" spans="3:8" ht="15.75" x14ac:dyDescent="0.25">
      <c r="C50" s="60"/>
      <c r="D50" s="12"/>
      <c r="E50" s="12"/>
      <c r="F50" s="12"/>
      <c r="G50" s="12"/>
      <c r="H50" s="35"/>
    </row>
    <row r="51" spans="3:8" ht="60" x14ac:dyDescent="0.25">
      <c r="C51" s="60" t="s">
        <v>109</v>
      </c>
      <c r="D51" s="59">
        <v>0.01</v>
      </c>
      <c r="E51" s="59">
        <v>2.0299999999999999E-2</v>
      </c>
      <c r="F51" s="59">
        <v>4.8999999999999998E-3</v>
      </c>
      <c r="G51" s="59">
        <v>1.7600000000000001E-2</v>
      </c>
      <c r="H51" s="14" t="s">
        <v>120</v>
      </c>
    </row>
    <row r="52" spans="3:8" ht="15.75" x14ac:dyDescent="0.25">
      <c r="C52" s="60"/>
      <c r="D52" s="12"/>
      <c r="E52" s="12"/>
      <c r="F52" s="12"/>
      <c r="G52" s="12"/>
      <c r="H52" s="35"/>
    </row>
    <row r="53" spans="3:8" ht="75" x14ac:dyDescent="0.25">
      <c r="C53" s="60" t="s">
        <v>110</v>
      </c>
      <c r="D53" s="12">
        <v>0.01</v>
      </c>
      <c r="E53" s="12">
        <v>0</v>
      </c>
      <c r="F53" s="12">
        <v>0</v>
      </c>
      <c r="G53" s="12">
        <v>0.06</v>
      </c>
      <c r="H53" s="14" t="s">
        <v>123</v>
      </c>
    </row>
    <row r="54" spans="3:8" ht="15.75" x14ac:dyDescent="0.25">
      <c r="C54" s="60"/>
      <c r="D54" s="12"/>
      <c r="E54" s="12"/>
      <c r="F54" s="12"/>
      <c r="G54" s="12"/>
      <c r="H54" s="35"/>
    </row>
    <row r="55" spans="3:8" ht="30" x14ac:dyDescent="0.25">
      <c r="C55" s="60" t="s">
        <v>111</v>
      </c>
      <c r="D55" s="59">
        <v>0.31780000000000003</v>
      </c>
      <c r="E55" s="59">
        <v>0.30680000000000002</v>
      </c>
      <c r="F55" s="59">
        <v>0.30890000000000001</v>
      </c>
      <c r="G55" s="59">
        <v>1.0349999999999999</v>
      </c>
      <c r="H55" s="14" t="s">
        <v>121</v>
      </c>
    </row>
    <row r="56" spans="3:8" ht="15.75" x14ac:dyDescent="0.25">
      <c r="C56" s="60"/>
      <c r="D56" s="12"/>
      <c r="E56" s="12"/>
      <c r="F56" s="12"/>
      <c r="G56" s="12"/>
      <c r="H56" s="35"/>
    </row>
    <row r="57" spans="3:8" ht="30" x14ac:dyDescent="0.25">
      <c r="C57" s="60" t="s">
        <v>112</v>
      </c>
      <c r="D57" s="12">
        <v>20.149999999999999</v>
      </c>
      <c r="E57" s="12">
        <v>9.8800000000000008</v>
      </c>
      <c r="F57" s="12">
        <v>13.41</v>
      </c>
      <c r="G57" s="12">
        <v>50.41</v>
      </c>
      <c r="H57" s="62" t="s">
        <v>122</v>
      </c>
    </row>
    <row r="73" spans="3:3" x14ac:dyDescent="0.25">
      <c r="C73" s="53"/>
    </row>
    <row r="75" spans="3:3" x14ac:dyDescent="0.25">
      <c r="C75" s="53"/>
    </row>
    <row r="77" spans="3:3" x14ac:dyDescent="0.25">
      <c r="C77" s="53"/>
    </row>
    <row r="79" spans="3:3" x14ac:dyDescent="0.25">
      <c r="C79" s="5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69"/>
  <sheetViews>
    <sheetView topLeftCell="A40" zoomScale="106" zoomScaleNormal="106" workbookViewId="0">
      <selection activeCell="D51" sqref="D51:H51"/>
    </sheetView>
  </sheetViews>
  <sheetFormatPr defaultRowHeight="15" x14ac:dyDescent="0.25"/>
  <cols>
    <col min="3" max="3" width="29.7109375" bestFit="1" customWidth="1"/>
    <col min="11" max="11" width="48.85546875" bestFit="1" customWidth="1"/>
  </cols>
  <sheetData>
    <row r="2" spans="3:16" ht="18.75" x14ac:dyDescent="0.3">
      <c r="C2" s="8" t="s">
        <v>76</v>
      </c>
      <c r="K2" s="8" t="s">
        <v>78</v>
      </c>
    </row>
    <row r="4" spans="3:16" ht="15.75" x14ac:dyDescent="0.25">
      <c r="D4" s="55" t="s">
        <v>36</v>
      </c>
      <c r="E4" s="55"/>
      <c r="F4" s="55"/>
      <c r="G4" s="55"/>
      <c r="H4" s="55"/>
      <c r="L4" s="55" t="s">
        <v>36</v>
      </c>
      <c r="M4" s="55"/>
      <c r="N4" s="55"/>
      <c r="O4" s="55"/>
      <c r="P4" s="55"/>
    </row>
    <row r="5" spans="3:16" x14ac:dyDescent="0.25">
      <c r="C5" s="9"/>
      <c r="D5" s="18">
        <v>42705</v>
      </c>
      <c r="E5" s="18">
        <v>42339</v>
      </c>
      <c r="F5" s="18">
        <v>41974</v>
      </c>
      <c r="G5" s="18">
        <v>41609</v>
      </c>
      <c r="H5" s="18">
        <v>41244</v>
      </c>
      <c r="K5" s="9"/>
      <c r="L5" s="18">
        <v>42705</v>
      </c>
      <c r="M5" s="18">
        <v>42339</v>
      </c>
      <c r="N5" s="18">
        <v>41974</v>
      </c>
      <c r="O5" s="18">
        <v>41609</v>
      </c>
      <c r="P5" s="18">
        <v>41244</v>
      </c>
    </row>
    <row r="6" spans="3:16" x14ac:dyDescent="0.25">
      <c r="C6" s="9"/>
      <c r="D6" s="9"/>
      <c r="E6" s="9"/>
      <c r="F6" s="9"/>
      <c r="G6" s="9"/>
      <c r="H6" s="9"/>
      <c r="K6" s="9"/>
      <c r="L6" s="9"/>
      <c r="M6" s="9"/>
      <c r="N6" s="9"/>
      <c r="O6" s="9"/>
      <c r="P6" s="9"/>
    </row>
    <row r="7" spans="3:16" x14ac:dyDescent="0.25">
      <c r="C7" s="9"/>
      <c r="D7" s="9" t="s">
        <v>0</v>
      </c>
      <c r="E7" s="9" t="s">
        <v>0</v>
      </c>
      <c r="F7" s="9" t="s">
        <v>0</v>
      </c>
      <c r="G7" s="9" t="s">
        <v>0</v>
      </c>
      <c r="H7" s="9" t="s">
        <v>0</v>
      </c>
      <c r="K7" s="9"/>
      <c r="L7" s="9" t="s">
        <v>0</v>
      </c>
      <c r="M7" s="9" t="s">
        <v>0</v>
      </c>
      <c r="N7" s="9" t="s">
        <v>0</v>
      </c>
      <c r="O7" s="9" t="s">
        <v>0</v>
      </c>
      <c r="P7" s="9" t="s">
        <v>0</v>
      </c>
    </row>
    <row r="8" spans="3:16" x14ac:dyDescent="0.25">
      <c r="C8" s="9"/>
      <c r="D8" s="9"/>
      <c r="E8" s="9"/>
      <c r="F8" s="9"/>
      <c r="G8" s="9"/>
      <c r="H8" s="9"/>
      <c r="K8" s="9"/>
      <c r="L8" s="9"/>
      <c r="M8" s="9"/>
      <c r="N8" s="9"/>
      <c r="O8" s="9"/>
      <c r="P8" s="9"/>
    </row>
    <row r="9" spans="3:16" x14ac:dyDescent="0.25">
      <c r="C9" s="9" t="s">
        <v>1</v>
      </c>
      <c r="D9" s="9"/>
      <c r="E9" s="9"/>
      <c r="F9" s="9"/>
      <c r="G9" s="9"/>
      <c r="H9" s="9"/>
      <c r="K9" s="9" t="s">
        <v>37</v>
      </c>
      <c r="L9" s="9"/>
      <c r="M9" s="9"/>
      <c r="N9" s="9"/>
      <c r="O9" s="9"/>
      <c r="P9" s="9"/>
    </row>
    <row r="10" spans="3:16" x14ac:dyDescent="0.25">
      <c r="C10" s="9" t="s">
        <v>2</v>
      </c>
      <c r="D10" s="9"/>
      <c r="E10" s="9"/>
      <c r="F10" s="9"/>
      <c r="G10" s="9"/>
      <c r="H10" s="9"/>
      <c r="K10" s="9" t="s">
        <v>38</v>
      </c>
      <c r="L10" s="11">
        <v>8430.44</v>
      </c>
      <c r="M10" s="11">
        <v>8430.44</v>
      </c>
      <c r="N10" s="11">
        <v>10129.5</v>
      </c>
      <c r="O10" s="11">
        <v>10129.5</v>
      </c>
      <c r="P10" s="11">
        <v>9379.8700000000008</v>
      </c>
    </row>
    <row r="11" spans="3:16" x14ac:dyDescent="0.25">
      <c r="C11" s="9" t="s">
        <v>3</v>
      </c>
      <c r="D11" s="9">
        <v>96.42</v>
      </c>
      <c r="E11" s="9">
        <v>96.42</v>
      </c>
      <c r="F11" s="9">
        <v>96.42</v>
      </c>
      <c r="G11" s="9">
        <v>96.42</v>
      </c>
      <c r="H11" s="9">
        <v>96.42</v>
      </c>
      <c r="K11" s="9" t="s">
        <v>39</v>
      </c>
      <c r="L11" s="9">
        <v>307.17</v>
      </c>
      <c r="M11" s="9">
        <v>307.17</v>
      </c>
      <c r="N11" s="9">
        <v>323.23</v>
      </c>
      <c r="O11" s="9">
        <v>323.23</v>
      </c>
      <c r="P11" s="9">
        <v>317.97000000000003</v>
      </c>
    </row>
    <row r="12" spans="3:16" x14ac:dyDescent="0.25">
      <c r="C12" s="9" t="s">
        <v>4</v>
      </c>
      <c r="D12" s="9">
        <v>96.42</v>
      </c>
      <c r="E12" s="9">
        <v>96.42</v>
      </c>
      <c r="F12" s="9">
        <v>96.42</v>
      </c>
      <c r="G12" s="9">
        <v>96.42</v>
      </c>
      <c r="H12" s="9">
        <v>96.42</v>
      </c>
      <c r="K12" s="9" t="s">
        <v>40</v>
      </c>
      <c r="L12" s="11">
        <v>8123.27</v>
      </c>
      <c r="M12" s="11">
        <v>8123.27</v>
      </c>
      <c r="N12" s="11">
        <v>9806.27</v>
      </c>
      <c r="O12" s="11">
        <v>9806.27</v>
      </c>
      <c r="P12" s="11">
        <v>9061.9</v>
      </c>
    </row>
    <row r="13" spans="3:16" x14ac:dyDescent="0.25">
      <c r="C13" s="9" t="s">
        <v>5</v>
      </c>
      <c r="D13" s="11">
        <v>2721.42</v>
      </c>
      <c r="E13" s="11">
        <v>2721.42</v>
      </c>
      <c r="F13" s="11">
        <v>2740.79</v>
      </c>
      <c r="G13" s="11">
        <v>2740.79</v>
      </c>
      <c r="H13" s="11">
        <v>2272.33</v>
      </c>
      <c r="K13" s="9" t="s">
        <v>41</v>
      </c>
      <c r="L13" s="9">
        <v>52.04</v>
      </c>
      <c r="M13" s="9">
        <v>52.04</v>
      </c>
      <c r="N13" s="9">
        <v>48.57</v>
      </c>
      <c r="O13" s="9">
        <v>48.57</v>
      </c>
      <c r="P13" s="9">
        <v>39.15</v>
      </c>
    </row>
    <row r="14" spans="3:16" x14ac:dyDescent="0.25">
      <c r="C14" s="9" t="s">
        <v>6</v>
      </c>
      <c r="D14" s="11">
        <v>2721.42</v>
      </c>
      <c r="E14" s="11">
        <v>2721.42</v>
      </c>
      <c r="F14" s="11">
        <v>2740.79</v>
      </c>
      <c r="G14" s="11">
        <v>2740.79</v>
      </c>
      <c r="H14" s="11">
        <v>2272.33</v>
      </c>
      <c r="K14" s="9" t="s">
        <v>42</v>
      </c>
      <c r="L14" s="11">
        <v>8175.31</v>
      </c>
      <c r="M14" s="11">
        <v>8175.31</v>
      </c>
      <c r="N14" s="11">
        <v>9854.84</v>
      </c>
      <c r="O14" s="11">
        <v>9854.84</v>
      </c>
      <c r="P14" s="11">
        <v>9101.0499999999993</v>
      </c>
    </row>
    <row r="15" spans="3:16" x14ac:dyDescent="0.25">
      <c r="C15" s="9" t="s">
        <v>7</v>
      </c>
      <c r="D15" s="11">
        <v>2817.84</v>
      </c>
      <c r="E15" s="11">
        <v>2817.84</v>
      </c>
      <c r="F15" s="11">
        <v>2837.21</v>
      </c>
      <c r="G15" s="11">
        <v>2837.21</v>
      </c>
      <c r="H15" s="11">
        <v>2368.75</v>
      </c>
      <c r="K15" s="9" t="s">
        <v>43</v>
      </c>
      <c r="L15" s="9">
        <v>110.09</v>
      </c>
      <c r="M15" s="9">
        <v>110.09</v>
      </c>
      <c r="N15" s="9">
        <v>87.32</v>
      </c>
      <c r="O15" s="9">
        <v>87.32</v>
      </c>
      <c r="P15" s="9">
        <v>83.09</v>
      </c>
    </row>
    <row r="16" spans="3:16" x14ac:dyDescent="0.25">
      <c r="C16" s="9" t="s">
        <v>8</v>
      </c>
      <c r="D16" s="9"/>
      <c r="E16" s="9"/>
      <c r="F16" s="9"/>
      <c r="G16" s="9"/>
      <c r="H16" s="9"/>
      <c r="K16" s="19" t="s">
        <v>44</v>
      </c>
      <c r="L16" s="20">
        <v>8285.4</v>
      </c>
      <c r="M16" s="20">
        <v>8285.4</v>
      </c>
      <c r="N16" s="20">
        <v>9942.16</v>
      </c>
      <c r="O16" s="20">
        <v>9942.16</v>
      </c>
      <c r="P16" s="20">
        <v>9184.14</v>
      </c>
    </row>
    <row r="17" spans="3:16" x14ac:dyDescent="0.25">
      <c r="C17" s="9" t="s">
        <v>71</v>
      </c>
      <c r="D17" s="9">
        <v>16.79</v>
      </c>
      <c r="E17" s="9">
        <v>16.79</v>
      </c>
      <c r="F17" s="9">
        <v>15.46</v>
      </c>
      <c r="G17" s="9">
        <v>15.46</v>
      </c>
      <c r="H17" s="11">
        <v>1189.48</v>
      </c>
      <c r="K17" s="9" t="s">
        <v>45</v>
      </c>
      <c r="L17" s="9"/>
      <c r="M17" s="9"/>
      <c r="N17" s="9"/>
      <c r="O17" s="9"/>
      <c r="P17" s="9"/>
    </row>
    <row r="18" spans="3:16" x14ac:dyDescent="0.25">
      <c r="C18" s="9" t="s">
        <v>72</v>
      </c>
      <c r="D18" s="9">
        <v>172.93</v>
      </c>
      <c r="E18" s="9">
        <v>172.93</v>
      </c>
      <c r="F18" s="9">
        <v>222.72</v>
      </c>
      <c r="G18" s="9">
        <v>222.72</v>
      </c>
      <c r="H18" s="9">
        <v>215.47</v>
      </c>
      <c r="K18" s="9" t="s">
        <v>46</v>
      </c>
      <c r="L18" s="11">
        <v>3358.87</v>
      </c>
      <c r="M18" s="11">
        <v>3358.87</v>
      </c>
      <c r="N18" s="11">
        <v>4482.54</v>
      </c>
      <c r="O18" s="11">
        <v>4482.54</v>
      </c>
      <c r="P18" s="11">
        <v>3906.99</v>
      </c>
    </row>
    <row r="19" spans="3:16" x14ac:dyDescent="0.25">
      <c r="C19" s="9" t="s">
        <v>10</v>
      </c>
      <c r="D19" s="11">
        <v>1597.17</v>
      </c>
      <c r="E19" s="11">
        <v>1597.17</v>
      </c>
      <c r="F19" s="11">
        <v>1388.66</v>
      </c>
      <c r="G19" s="11">
        <v>1388.66</v>
      </c>
      <c r="H19" s="11">
        <v>1193.3900000000001</v>
      </c>
      <c r="K19" s="9" t="s">
        <v>47</v>
      </c>
      <c r="L19" s="9">
        <v>98.07</v>
      </c>
      <c r="M19" s="9">
        <v>98.07</v>
      </c>
      <c r="N19" s="9">
        <v>108.85</v>
      </c>
      <c r="O19" s="9">
        <v>108.85</v>
      </c>
      <c r="P19" s="9">
        <v>110.04</v>
      </c>
    </row>
    <row r="20" spans="3:16" x14ac:dyDescent="0.25">
      <c r="C20" s="9" t="s">
        <v>11</v>
      </c>
      <c r="D20" s="11">
        <v>1786.89</v>
      </c>
      <c r="E20" s="11">
        <v>1786.89</v>
      </c>
      <c r="F20" s="11">
        <v>1626.84</v>
      </c>
      <c r="G20" s="11">
        <v>1626.84</v>
      </c>
      <c r="H20" s="11">
        <v>2598.34</v>
      </c>
      <c r="K20" s="9" t="s">
        <v>48</v>
      </c>
      <c r="L20" s="9">
        <v>11.97</v>
      </c>
      <c r="M20" s="9">
        <v>11.97</v>
      </c>
      <c r="N20" s="9">
        <v>-67.430000000000007</v>
      </c>
      <c r="O20" s="9">
        <v>-67.430000000000007</v>
      </c>
      <c r="P20" s="9">
        <v>105.32</v>
      </c>
    </row>
    <row r="21" spans="3:16" x14ac:dyDescent="0.25">
      <c r="C21" s="9" t="s">
        <v>12</v>
      </c>
      <c r="D21" s="9"/>
      <c r="E21" s="9"/>
      <c r="F21" s="9"/>
      <c r="G21" s="9"/>
      <c r="H21" s="9"/>
      <c r="K21" s="9" t="s">
        <v>49</v>
      </c>
      <c r="L21" s="9">
        <v>912.75</v>
      </c>
      <c r="M21" s="9">
        <v>912.75</v>
      </c>
      <c r="N21" s="9">
        <v>837.05</v>
      </c>
      <c r="O21" s="9">
        <v>819.74</v>
      </c>
      <c r="P21" s="9">
        <v>741.5</v>
      </c>
    </row>
    <row r="22" spans="3:16" x14ac:dyDescent="0.25">
      <c r="C22" s="9" t="s">
        <v>73</v>
      </c>
      <c r="D22" s="9">
        <v>0.94</v>
      </c>
      <c r="E22" s="9">
        <v>0.94</v>
      </c>
      <c r="F22" s="9">
        <v>4.1100000000000003</v>
      </c>
      <c r="G22" s="9">
        <v>4.1100000000000003</v>
      </c>
      <c r="H22" s="9">
        <v>0.01</v>
      </c>
      <c r="K22" s="9" t="s">
        <v>50</v>
      </c>
      <c r="L22" s="9">
        <v>3.29</v>
      </c>
      <c r="M22" s="9">
        <v>3.29</v>
      </c>
      <c r="N22" s="9">
        <v>14.23</v>
      </c>
      <c r="O22" s="9">
        <v>14.23</v>
      </c>
      <c r="P22" s="9">
        <v>36.51</v>
      </c>
    </row>
    <row r="23" spans="3:16" x14ac:dyDescent="0.25">
      <c r="C23" s="9" t="s">
        <v>13</v>
      </c>
      <c r="D23" s="9">
        <v>743.54</v>
      </c>
      <c r="E23" s="9">
        <v>743.54</v>
      </c>
      <c r="F23" s="9">
        <v>728.71</v>
      </c>
      <c r="G23" s="9">
        <v>728.71</v>
      </c>
      <c r="H23" s="9">
        <v>633.04</v>
      </c>
      <c r="K23" s="9" t="s">
        <v>77</v>
      </c>
      <c r="L23" s="9">
        <v>63.46</v>
      </c>
      <c r="M23" s="9">
        <v>63.46</v>
      </c>
      <c r="N23" s="9">
        <v>61.38</v>
      </c>
      <c r="O23" s="9">
        <v>61.38</v>
      </c>
      <c r="P23" s="9">
        <v>62.05</v>
      </c>
    </row>
    <row r="24" spans="3:16" x14ac:dyDescent="0.25">
      <c r="C24" s="9" t="s">
        <v>14</v>
      </c>
      <c r="D24" s="9">
        <v>465.93</v>
      </c>
      <c r="E24" s="9">
        <v>465.93</v>
      </c>
      <c r="F24" s="9">
        <v>409.57</v>
      </c>
      <c r="G24" s="9">
        <v>409.57</v>
      </c>
      <c r="H24" s="9">
        <v>500.25</v>
      </c>
      <c r="K24" s="9" t="s">
        <v>51</v>
      </c>
      <c r="L24" s="9">
        <v>347.26</v>
      </c>
      <c r="M24" s="9">
        <v>347.26</v>
      </c>
      <c r="N24" s="9">
        <v>337.54</v>
      </c>
      <c r="O24" s="9">
        <v>337.54</v>
      </c>
      <c r="P24" s="9">
        <v>329.95</v>
      </c>
    </row>
    <row r="25" spans="3:16" x14ac:dyDescent="0.25">
      <c r="C25" s="9" t="s">
        <v>15</v>
      </c>
      <c r="D25" s="9">
        <v>265.32</v>
      </c>
      <c r="E25" s="9">
        <v>265.32</v>
      </c>
      <c r="F25" s="9">
        <v>213.06</v>
      </c>
      <c r="G25" s="9">
        <v>213.06</v>
      </c>
      <c r="H25" s="9">
        <v>213.88</v>
      </c>
      <c r="K25" s="9" t="s">
        <v>52</v>
      </c>
      <c r="L25" s="11">
        <v>2175.2600000000002</v>
      </c>
      <c r="M25" s="11">
        <v>2175.2600000000002</v>
      </c>
      <c r="N25" s="11">
        <v>2400.65</v>
      </c>
      <c r="O25" s="11">
        <v>2409.4499999999998</v>
      </c>
      <c r="P25" s="11">
        <v>2227.5700000000002</v>
      </c>
    </row>
    <row r="26" spans="3:16" x14ac:dyDescent="0.25">
      <c r="C26" s="9" t="s">
        <v>16</v>
      </c>
      <c r="D26" s="11">
        <v>1475.73</v>
      </c>
      <c r="E26" s="11">
        <v>1475.73</v>
      </c>
      <c r="F26" s="11">
        <v>1355.45</v>
      </c>
      <c r="G26" s="11">
        <v>1355.45</v>
      </c>
      <c r="H26" s="11">
        <v>1347.18</v>
      </c>
      <c r="K26" s="19" t="s">
        <v>53</v>
      </c>
      <c r="L26" s="20">
        <v>6970.93</v>
      </c>
      <c r="M26" s="20">
        <v>6970.93</v>
      </c>
      <c r="N26" s="20">
        <v>8174.81</v>
      </c>
      <c r="O26" s="20">
        <v>8166.3</v>
      </c>
      <c r="P26" s="20">
        <v>7519.93</v>
      </c>
    </row>
    <row r="27" spans="3:16" x14ac:dyDescent="0.25">
      <c r="C27" s="19" t="s">
        <v>17</v>
      </c>
      <c r="D27" s="20">
        <v>6080.46</v>
      </c>
      <c r="E27" s="20">
        <v>6080.46</v>
      </c>
      <c r="F27" s="20">
        <v>5819.5</v>
      </c>
      <c r="G27" s="20">
        <v>5819.5</v>
      </c>
      <c r="H27" s="20">
        <v>6314.27</v>
      </c>
    </row>
    <row r="28" spans="3:16" x14ac:dyDescent="0.25">
      <c r="C28" s="9" t="s">
        <v>18</v>
      </c>
      <c r="D28" s="9"/>
      <c r="E28" s="9"/>
      <c r="F28" s="9"/>
      <c r="G28" s="9"/>
      <c r="H28" s="9"/>
    </row>
    <row r="29" spans="3:16" x14ac:dyDescent="0.25">
      <c r="C29" s="9" t="s">
        <v>19</v>
      </c>
      <c r="D29" s="9"/>
      <c r="E29" s="9"/>
      <c r="F29" s="9"/>
      <c r="G29" s="9"/>
      <c r="H29" s="9"/>
    </row>
    <row r="30" spans="3:16" x14ac:dyDescent="0.25">
      <c r="C30" s="9" t="s">
        <v>20</v>
      </c>
      <c r="D30" s="11">
        <v>2897.85</v>
      </c>
      <c r="E30" s="11">
        <v>2897.85</v>
      </c>
      <c r="F30" s="11">
        <v>3176.64</v>
      </c>
      <c r="G30" s="11">
        <v>3176.64</v>
      </c>
      <c r="H30" s="11">
        <v>3369.31</v>
      </c>
    </row>
    <row r="31" spans="3:16" x14ac:dyDescent="0.25">
      <c r="C31" s="9" t="s">
        <v>21</v>
      </c>
      <c r="D31" s="9">
        <v>230.79</v>
      </c>
      <c r="E31" s="9">
        <v>230.79</v>
      </c>
      <c r="F31" s="9">
        <v>244.78</v>
      </c>
      <c r="G31" s="9">
        <v>244.78</v>
      </c>
      <c r="H31" s="9">
        <v>294.70999999999998</v>
      </c>
    </row>
    <row r="32" spans="3:16" x14ac:dyDescent="0.25">
      <c r="C32" s="9" t="s">
        <v>22</v>
      </c>
      <c r="D32" s="11">
        <v>3128.64</v>
      </c>
      <c r="E32" s="11">
        <v>3128.64</v>
      </c>
      <c r="F32" s="11">
        <v>3421.42</v>
      </c>
      <c r="G32" s="11">
        <v>3421.42</v>
      </c>
      <c r="H32" s="11">
        <v>3664.02</v>
      </c>
    </row>
    <row r="33" spans="3:8" x14ac:dyDescent="0.25">
      <c r="C33" s="9" t="s">
        <v>74</v>
      </c>
      <c r="D33" s="9">
        <v>341.78</v>
      </c>
      <c r="E33" s="9">
        <v>341.78</v>
      </c>
      <c r="F33" s="9">
        <v>304.45999999999998</v>
      </c>
      <c r="G33" s="9">
        <v>304.45999999999998</v>
      </c>
      <c r="H33" s="9">
        <v>224.12</v>
      </c>
    </row>
    <row r="34" spans="3:8" x14ac:dyDescent="0.25">
      <c r="C34" s="9" t="s">
        <v>24</v>
      </c>
      <c r="D34" s="9">
        <v>130.43</v>
      </c>
      <c r="E34" s="9">
        <v>130.43</v>
      </c>
      <c r="F34" s="9">
        <v>129.94999999999999</v>
      </c>
      <c r="G34" s="9">
        <v>129.94999999999999</v>
      </c>
      <c r="H34" s="9">
        <v>123.94</v>
      </c>
    </row>
    <row r="35" spans="3:8" x14ac:dyDescent="0.25">
      <c r="C35" s="9" t="s">
        <v>25</v>
      </c>
      <c r="D35" s="9">
        <v>0</v>
      </c>
      <c r="E35" s="9">
        <v>0</v>
      </c>
      <c r="F35" s="9">
        <v>0</v>
      </c>
      <c r="G35" s="9">
        <v>0</v>
      </c>
      <c r="H35" s="9">
        <v>0.47</v>
      </c>
    </row>
    <row r="36" spans="3:8" x14ac:dyDescent="0.25">
      <c r="C36" s="9" t="s">
        <v>26</v>
      </c>
      <c r="D36" s="11">
        <v>3600.85</v>
      </c>
      <c r="E36" s="11">
        <v>3600.85</v>
      </c>
      <c r="F36" s="11">
        <v>3855.83</v>
      </c>
      <c r="G36" s="11">
        <v>3855.83</v>
      </c>
      <c r="H36" s="11">
        <v>4012.55</v>
      </c>
    </row>
    <row r="37" spans="3:8" x14ac:dyDescent="0.25">
      <c r="C37" s="9" t="s">
        <v>27</v>
      </c>
      <c r="D37" s="9"/>
      <c r="E37" s="9"/>
      <c r="F37" s="9"/>
      <c r="G37" s="9"/>
      <c r="H37" s="9"/>
    </row>
    <row r="38" spans="3:8" x14ac:dyDescent="0.25">
      <c r="C38" s="9" t="s">
        <v>75</v>
      </c>
      <c r="D38" s="9">
        <v>983.14</v>
      </c>
      <c r="E38" s="9">
        <v>983.14</v>
      </c>
      <c r="F38" s="9">
        <v>507.36</v>
      </c>
      <c r="G38" s="9">
        <v>507.36</v>
      </c>
      <c r="H38" s="9">
        <v>626.96</v>
      </c>
    </row>
    <row r="39" spans="3:8" x14ac:dyDescent="0.25">
      <c r="C39" s="9" t="s">
        <v>28</v>
      </c>
      <c r="D39" s="9">
        <v>820.81</v>
      </c>
      <c r="E39" s="9">
        <v>820.81</v>
      </c>
      <c r="F39" s="9">
        <v>844.1</v>
      </c>
      <c r="G39" s="9">
        <v>844.1</v>
      </c>
      <c r="H39" s="9">
        <v>735.93</v>
      </c>
    </row>
    <row r="40" spans="3:8" x14ac:dyDescent="0.25">
      <c r="C40" s="9" t="s">
        <v>29</v>
      </c>
      <c r="D40" s="9">
        <v>78.42</v>
      </c>
      <c r="E40" s="9">
        <v>78.42</v>
      </c>
      <c r="F40" s="9">
        <v>99.1</v>
      </c>
      <c r="G40" s="9">
        <v>99.1</v>
      </c>
      <c r="H40" s="9">
        <v>84.27</v>
      </c>
    </row>
    <row r="41" spans="3:8" x14ac:dyDescent="0.25">
      <c r="C41" s="9" t="s">
        <v>30</v>
      </c>
      <c r="D41" s="9">
        <v>499.55</v>
      </c>
      <c r="E41" s="9">
        <v>499.55</v>
      </c>
      <c r="F41" s="9">
        <v>445.82</v>
      </c>
      <c r="G41" s="9">
        <v>445.82</v>
      </c>
      <c r="H41" s="9">
        <v>749.36</v>
      </c>
    </row>
    <row r="42" spans="3:8" x14ac:dyDescent="0.25">
      <c r="C42" s="9" t="s">
        <v>31</v>
      </c>
      <c r="D42" s="9">
        <v>82.97</v>
      </c>
      <c r="E42" s="9">
        <v>82.97</v>
      </c>
      <c r="F42" s="9">
        <v>52.07</v>
      </c>
      <c r="G42" s="9">
        <v>52.07</v>
      </c>
      <c r="H42" s="9">
        <v>101.36</v>
      </c>
    </row>
    <row r="43" spans="3:8" x14ac:dyDescent="0.25">
      <c r="C43" s="9" t="s">
        <v>32</v>
      </c>
      <c r="D43" s="9">
        <v>14.72</v>
      </c>
      <c r="E43" s="9">
        <v>14.72</v>
      </c>
      <c r="F43" s="9">
        <v>15.22</v>
      </c>
      <c r="G43" s="9">
        <v>15.22</v>
      </c>
      <c r="H43" s="9">
        <v>3.84</v>
      </c>
    </row>
    <row r="44" spans="3:8" x14ac:dyDescent="0.25">
      <c r="C44" s="9" t="s">
        <v>33</v>
      </c>
      <c r="D44" s="11">
        <v>2479.61</v>
      </c>
      <c r="E44" s="11">
        <v>2479.61</v>
      </c>
      <c r="F44" s="11">
        <v>1963.67</v>
      </c>
      <c r="G44" s="11">
        <v>1963.67</v>
      </c>
      <c r="H44" s="11">
        <v>2301.7199999999998</v>
      </c>
    </row>
    <row r="45" spans="3:8" x14ac:dyDescent="0.25">
      <c r="C45" s="19" t="s">
        <v>34</v>
      </c>
      <c r="D45" s="20">
        <v>6080.46</v>
      </c>
      <c r="E45" s="20">
        <v>6080.46</v>
      </c>
      <c r="F45" s="20">
        <v>5819.5</v>
      </c>
      <c r="G45" s="20">
        <v>5819.5</v>
      </c>
      <c r="H45" s="20">
        <v>6314.27</v>
      </c>
    </row>
    <row r="48" spans="3:8" ht="15.75" x14ac:dyDescent="0.25">
      <c r="D48" s="55" t="s">
        <v>36</v>
      </c>
      <c r="E48" s="55"/>
      <c r="F48" s="55"/>
      <c r="G48" s="55"/>
      <c r="H48" s="55"/>
    </row>
    <row r="49" spans="3:8" x14ac:dyDescent="0.25">
      <c r="D49" s="18">
        <v>42705</v>
      </c>
      <c r="E49" s="18">
        <v>42339</v>
      </c>
      <c r="F49" s="18">
        <v>41974</v>
      </c>
      <c r="G49" s="18">
        <v>41609</v>
      </c>
      <c r="H49" s="18">
        <v>41244</v>
      </c>
    </row>
    <row r="50" spans="3:8" x14ac:dyDescent="0.25">
      <c r="C50" s="15" t="s">
        <v>55</v>
      </c>
      <c r="D50" s="15">
        <v>58.42</v>
      </c>
      <c r="E50" s="15">
        <v>122.87</v>
      </c>
      <c r="F50" s="15">
        <v>115.87</v>
      </c>
      <c r="G50" s="15">
        <v>110.76</v>
      </c>
      <c r="H50" s="15">
        <v>99.73</v>
      </c>
    </row>
    <row r="51" spans="3:8" x14ac:dyDescent="0.25">
      <c r="C51" s="15" t="s">
        <v>56</v>
      </c>
      <c r="D51" s="15">
        <v>6.88</v>
      </c>
      <c r="E51" s="15">
        <v>12.02</v>
      </c>
      <c r="F51" s="15">
        <v>12.27</v>
      </c>
      <c r="G51" s="15">
        <v>12.81</v>
      </c>
      <c r="H51" s="15">
        <v>12.79</v>
      </c>
    </row>
    <row r="52" spans="3:8" x14ac:dyDescent="0.25">
      <c r="C52" s="15" t="s">
        <v>57</v>
      </c>
      <c r="D52" s="15">
        <v>9.9600000000000009</v>
      </c>
      <c r="E52" s="15">
        <v>11.67</v>
      </c>
      <c r="F52" s="15">
        <v>12.37</v>
      </c>
      <c r="G52" s="15">
        <v>11.18</v>
      </c>
      <c r="H52" s="15">
        <v>10.24</v>
      </c>
    </row>
    <row r="53" spans="3:8" x14ac:dyDescent="0.25">
      <c r="C53" s="15" t="s">
        <v>58</v>
      </c>
      <c r="D53" s="15">
        <v>83.01</v>
      </c>
      <c r="E53" s="15">
        <v>51.27</v>
      </c>
      <c r="F53" s="15">
        <v>41.85</v>
      </c>
      <c r="G53" s="15">
        <v>43.78</v>
      </c>
      <c r="H53" s="15">
        <v>48.63</v>
      </c>
    </row>
    <row r="54" spans="3:8" x14ac:dyDescent="0.25">
      <c r="C54" s="15" t="s">
        <v>59</v>
      </c>
      <c r="D54" s="15">
        <v>16.989999999999998</v>
      </c>
      <c r="E54" s="15">
        <v>48.73</v>
      </c>
      <c r="F54" s="15">
        <v>58.15</v>
      </c>
      <c r="G54" s="15">
        <v>56.22</v>
      </c>
      <c r="H54" s="15">
        <v>51.37</v>
      </c>
    </row>
    <row r="55" spans="3:8" x14ac:dyDescent="0.25">
      <c r="C55" s="15" t="s">
        <v>79</v>
      </c>
      <c r="D55" s="15">
        <v>0.01</v>
      </c>
      <c r="E55" s="15">
        <v>0.01</v>
      </c>
      <c r="F55" s="15">
        <v>0.5</v>
      </c>
      <c r="G55" s="15">
        <v>0.57999999999999996</v>
      </c>
      <c r="H55" s="15">
        <v>0.76</v>
      </c>
    </row>
    <row r="56" spans="3:8" ht="19.5" customHeight="1" x14ac:dyDescent="0.25">
      <c r="C56" s="15" t="s">
        <v>80</v>
      </c>
      <c r="D56" s="15">
        <v>19.98</v>
      </c>
      <c r="E56" s="15">
        <v>41.75</v>
      </c>
      <c r="F56" s="15">
        <v>47.16</v>
      </c>
      <c r="G56" s="15">
        <v>59.38</v>
      </c>
      <c r="H56" s="15">
        <v>75.47</v>
      </c>
    </row>
    <row r="59" spans="3:8" ht="18.75" x14ac:dyDescent="0.25">
      <c r="C59" s="17" t="s">
        <v>62</v>
      </c>
    </row>
    <row r="61" spans="3:8" ht="15.75" x14ac:dyDescent="0.25">
      <c r="C61" s="21"/>
      <c r="D61" s="22">
        <v>2012</v>
      </c>
      <c r="E61" s="22">
        <v>2013</v>
      </c>
      <c r="F61" s="22">
        <v>2014</v>
      </c>
      <c r="G61" s="22">
        <v>2015</v>
      </c>
      <c r="H61" s="22">
        <v>2016</v>
      </c>
    </row>
    <row r="62" spans="3:8" ht="15.75" x14ac:dyDescent="0.25">
      <c r="C62" s="22" t="s">
        <v>70</v>
      </c>
      <c r="D62" s="21">
        <v>52.87</v>
      </c>
      <c r="E62" s="21">
        <v>50.6</v>
      </c>
      <c r="F62" s="21">
        <v>50.99</v>
      </c>
      <c r="G62" s="21">
        <v>52.85</v>
      </c>
      <c r="H62" s="21">
        <v>50.31</v>
      </c>
    </row>
    <row r="63" spans="3:8" ht="15.75" x14ac:dyDescent="0.25">
      <c r="C63" s="22" t="s">
        <v>63</v>
      </c>
      <c r="D63" s="21">
        <v>69.31</v>
      </c>
      <c r="E63" s="21">
        <v>66.41</v>
      </c>
      <c r="F63" s="21">
        <v>67.37</v>
      </c>
      <c r="G63" s="21">
        <v>70.69</v>
      </c>
      <c r="H63" s="21">
        <v>68.349999999999994</v>
      </c>
    </row>
    <row r="64" spans="3:8" ht="15.75" x14ac:dyDescent="0.25">
      <c r="C64" s="22" t="s">
        <v>64</v>
      </c>
      <c r="D64" s="21">
        <v>105.73</v>
      </c>
      <c r="E64" s="21">
        <v>115.8</v>
      </c>
      <c r="F64" s="21">
        <v>128.6</v>
      </c>
      <c r="G64" s="21">
        <v>140.66</v>
      </c>
      <c r="H64" s="21">
        <v>147.27000000000001</v>
      </c>
    </row>
    <row r="65" spans="3:8" ht="15.75" x14ac:dyDescent="0.25">
      <c r="C65" s="22" t="s">
        <v>65</v>
      </c>
      <c r="D65" s="21">
        <v>16.440000000000001</v>
      </c>
      <c r="E65" s="21">
        <v>1.21</v>
      </c>
      <c r="F65" s="21">
        <v>-10.25</v>
      </c>
      <c r="G65" s="21">
        <v>-17.12</v>
      </c>
      <c r="H65" s="21">
        <v>-28.61</v>
      </c>
    </row>
    <row r="66" spans="3:8" ht="15.75" x14ac:dyDescent="0.25">
      <c r="C66" s="22" t="s">
        <v>66</v>
      </c>
      <c r="D66" s="21">
        <v>6.9</v>
      </c>
      <c r="E66" s="21">
        <v>7.21</v>
      </c>
      <c r="F66" s="21">
        <v>7.16</v>
      </c>
      <c r="G66" s="21">
        <v>6.91</v>
      </c>
      <c r="H66" s="21">
        <v>7.26</v>
      </c>
    </row>
    <row r="67" spans="3:8" ht="15.75" x14ac:dyDescent="0.25">
      <c r="C67" s="22" t="s">
        <v>67</v>
      </c>
      <c r="D67" s="21">
        <v>5.27</v>
      </c>
      <c r="E67" s="21">
        <v>5.5</v>
      </c>
      <c r="F67" s="21">
        <v>5.42</v>
      </c>
      <c r="G67" s="21">
        <v>5.16</v>
      </c>
      <c r="H67" s="21">
        <v>5.34</v>
      </c>
    </row>
    <row r="68" spans="3:8" ht="15.75" x14ac:dyDescent="0.25">
      <c r="C68" s="22" t="s">
        <v>68</v>
      </c>
      <c r="D68" s="21">
        <v>3.63</v>
      </c>
      <c r="E68" s="21">
        <v>3.43</v>
      </c>
      <c r="F68" s="21">
        <v>3.32</v>
      </c>
      <c r="G68" s="21">
        <v>3.23</v>
      </c>
      <c r="H68" s="21">
        <v>3.31</v>
      </c>
    </row>
    <row r="69" spans="3:8" ht="15.75" x14ac:dyDescent="0.25">
      <c r="C69" s="22" t="s">
        <v>69</v>
      </c>
      <c r="D69" s="21">
        <v>0.77</v>
      </c>
      <c r="E69" s="21">
        <v>0.74</v>
      </c>
      <c r="F69" s="21">
        <v>0.72</v>
      </c>
      <c r="G69" s="21">
        <v>0.69</v>
      </c>
      <c r="H69" s="21">
        <v>0.7</v>
      </c>
    </row>
  </sheetData>
  <mergeCells count="3">
    <mergeCell ref="D4:H4"/>
    <mergeCell ref="L4:P4"/>
    <mergeCell ref="D48:H48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67"/>
  <sheetViews>
    <sheetView topLeftCell="A46" workbookViewId="0">
      <selection activeCell="D54" sqref="D54:H54"/>
    </sheetView>
  </sheetViews>
  <sheetFormatPr defaultRowHeight="15" x14ac:dyDescent="0.25"/>
  <cols>
    <col min="3" max="3" width="35.7109375" customWidth="1"/>
    <col min="4" max="5" width="10" customWidth="1"/>
    <col min="6" max="6" width="9.7109375" customWidth="1"/>
    <col min="7" max="7" width="10" customWidth="1"/>
    <col min="8" max="8" width="9.42578125" customWidth="1"/>
    <col min="11" max="11" width="49.140625" bestFit="1" customWidth="1"/>
  </cols>
  <sheetData>
    <row r="2" spans="3:16" ht="18.75" x14ac:dyDescent="0.3">
      <c r="C2" s="8" t="s">
        <v>76</v>
      </c>
      <c r="K2" s="8" t="s">
        <v>54</v>
      </c>
    </row>
    <row r="4" spans="3:16" ht="15.75" x14ac:dyDescent="0.25">
      <c r="D4" s="55" t="s">
        <v>36</v>
      </c>
      <c r="E4" s="55"/>
      <c r="F4" s="55"/>
      <c r="G4" s="55"/>
      <c r="H4" s="55"/>
      <c r="L4" s="55" t="s">
        <v>36</v>
      </c>
      <c r="M4" s="55"/>
      <c r="N4" s="55"/>
      <c r="O4" s="55"/>
      <c r="P4" s="55"/>
    </row>
    <row r="5" spans="3:16" x14ac:dyDescent="0.25">
      <c r="C5" s="9"/>
      <c r="D5" s="10">
        <v>42430</v>
      </c>
      <c r="E5" s="10">
        <v>42064</v>
      </c>
      <c r="F5" s="10">
        <v>41699</v>
      </c>
      <c r="G5" s="10">
        <v>41334</v>
      </c>
      <c r="H5" s="10">
        <v>40969</v>
      </c>
      <c r="K5" s="12"/>
      <c r="L5" s="27">
        <v>42430</v>
      </c>
      <c r="M5" s="27">
        <v>42064</v>
      </c>
      <c r="N5" s="27">
        <v>41699</v>
      </c>
      <c r="O5" s="27">
        <v>41334</v>
      </c>
      <c r="P5" s="27">
        <v>40969</v>
      </c>
    </row>
    <row r="6" spans="3:16" x14ac:dyDescent="0.25">
      <c r="C6" s="9" t="s">
        <v>1</v>
      </c>
      <c r="D6" s="9"/>
      <c r="E6" s="9"/>
      <c r="F6" s="9"/>
      <c r="G6" s="9"/>
      <c r="H6" s="9"/>
      <c r="K6" s="29" t="s">
        <v>37</v>
      </c>
      <c r="L6" s="12"/>
      <c r="M6" s="12"/>
      <c r="N6" s="12"/>
      <c r="O6" s="12"/>
      <c r="P6" s="12"/>
    </row>
    <row r="7" spans="3:16" x14ac:dyDescent="0.25">
      <c r="C7" s="9" t="s">
        <v>2</v>
      </c>
      <c r="D7" s="9"/>
      <c r="E7" s="9"/>
      <c r="F7" s="9"/>
      <c r="G7" s="9"/>
      <c r="H7" s="9"/>
      <c r="K7" s="29" t="s">
        <v>38</v>
      </c>
      <c r="L7" s="26">
        <v>33855.58</v>
      </c>
      <c r="M7" s="26">
        <v>32086.32</v>
      </c>
      <c r="N7" s="26">
        <v>28947.06</v>
      </c>
      <c r="O7" s="26">
        <v>26679.759999999998</v>
      </c>
      <c r="P7" s="26">
        <v>22800.32</v>
      </c>
    </row>
    <row r="8" spans="3:16" x14ac:dyDescent="0.25">
      <c r="C8" s="9" t="s">
        <v>3</v>
      </c>
      <c r="D8" s="9">
        <v>216.39</v>
      </c>
      <c r="E8" s="9">
        <v>216.35</v>
      </c>
      <c r="F8" s="9">
        <v>216.27</v>
      </c>
      <c r="G8" s="9">
        <v>216.25</v>
      </c>
      <c r="H8" s="9">
        <v>216.15</v>
      </c>
      <c r="K8" s="29" t="s">
        <v>39</v>
      </c>
      <c r="L8" s="26">
        <v>2430.31</v>
      </c>
      <c r="M8" s="26">
        <v>1915.82</v>
      </c>
      <c r="N8" s="26">
        <v>1538.77</v>
      </c>
      <c r="O8" s="26">
        <v>1473.38</v>
      </c>
      <c r="P8" s="26">
        <v>1064.72</v>
      </c>
    </row>
    <row r="9" spans="3:16" x14ac:dyDescent="0.25">
      <c r="C9" s="9" t="s">
        <v>4</v>
      </c>
      <c r="D9" s="9">
        <v>216.39</v>
      </c>
      <c r="E9" s="9">
        <v>216.35</v>
      </c>
      <c r="F9" s="9">
        <v>216.27</v>
      </c>
      <c r="G9" s="9">
        <v>216.25</v>
      </c>
      <c r="H9" s="9">
        <v>216.15</v>
      </c>
      <c r="K9" s="29" t="s">
        <v>40</v>
      </c>
      <c r="L9" s="26">
        <v>31425.27</v>
      </c>
      <c r="M9" s="26">
        <v>30170.5</v>
      </c>
      <c r="N9" s="26">
        <v>27408.29</v>
      </c>
      <c r="O9" s="26">
        <v>25206.38</v>
      </c>
      <c r="P9" s="26">
        <v>21735.599999999999</v>
      </c>
    </row>
    <row r="10" spans="3:16" x14ac:dyDescent="0.25">
      <c r="C10" s="9" t="s">
        <v>83</v>
      </c>
      <c r="D10" s="9">
        <v>0.67</v>
      </c>
      <c r="E10" s="9">
        <v>0.67</v>
      </c>
      <c r="F10" s="9">
        <v>0.67</v>
      </c>
      <c r="G10" s="9">
        <v>0.67</v>
      </c>
      <c r="H10" s="9">
        <v>0.67</v>
      </c>
      <c r="K10" s="29" t="s">
        <v>41</v>
      </c>
      <c r="L10" s="12">
        <v>561.9</v>
      </c>
      <c r="M10" s="12">
        <v>635.12</v>
      </c>
      <c r="N10" s="12">
        <v>610.84</v>
      </c>
      <c r="O10" s="12">
        <v>603.83000000000004</v>
      </c>
      <c r="P10" s="12">
        <v>380.77</v>
      </c>
    </row>
    <row r="11" spans="3:16" x14ac:dyDescent="0.25">
      <c r="C11" s="9" t="s">
        <v>5</v>
      </c>
      <c r="D11" s="11">
        <v>3470.23</v>
      </c>
      <c r="E11" s="11">
        <v>3507.76</v>
      </c>
      <c r="F11" s="11">
        <v>3060.11</v>
      </c>
      <c r="G11" s="11">
        <v>2457.1</v>
      </c>
      <c r="H11" s="11">
        <v>3296.11</v>
      </c>
      <c r="K11" s="29" t="s">
        <v>42</v>
      </c>
      <c r="L11" s="26">
        <v>31987.17</v>
      </c>
      <c r="M11" s="26">
        <v>30805.62</v>
      </c>
      <c r="N11" s="26">
        <v>28019.13</v>
      </c>
      <c r="O11" s="26">
        <v>25810.21</v>
      </c>
      <c r="P11" s="26">
        <v>22116.37</v>
      </c>
    </row>
    <row r="12" spans="3:16" x14ac:dyDescent="0.25">
      <c r="C12" s="9" t="s">
        <v>6</v>
      </c>
      <c r="D12" s="11">
        <v>3470.9</v>
      </c>
      <c r="E12" s="11">
        <v>3508.43</v>
      </c>
      <c r="F12" s="11">
        <v>3060.78</v>
      </c>
      <c r="G12" s="11">
        <v>2457.77</v>
      </c>
      <c r="H12" s="11">
        <v>3296.78</v>
      </c>
      <c r="K12" s="29" t="s">
        <v>43</v>
      </c>
      <c r="L12" s="12">
        <v>500.63</v>
      </c>
      <c r="M12" s="12">
        <v>618.39</v>
      </c>
      <c r="N12" s="12">
        <v>621.03</v>
      </c>
      <c r="O12" s="12">
        <v>606.9</v>
      </c>
      <c r="P12" s="12">
        <v>278.31</v>
      </c>
    </row>
    <row r="13" spans="3:16" x14ac:dyDescent="0.25">
      <c r="C13" s="9" t="s">
        <v>7</v>
      </c>
      <c r="D13" s="11">
        <v>3687.29</v>
      </c>
      <c r="E13" s="11">
        <v>3724.78</v>
      </c>
      <c r="F13" s="11">
        <v>3277.05</v>
      </c>
      <c r="G13" s="11">
        <v>2674.02</v>
      </c>
      <c r="H13" s="11">
        <v>3512.93</v>
      </c>
      <c r="K13" s="30" t="s">
        <v>44</v>
      </c>
      <c r="L13" s="28">
        <v>32487.8</v>
      </c>
      <c r="M13" s="28">
        <v>31424.01</v>
      </c>
      <c r="N13" s="28">
        <v>28640.16</v>
      </c>
      <c r="O13" s="28">
        <v>26417.11</v>
      </c>
      <c r="P13" s="28">
        <v>22394.68</v>
      </c>
    </row>
    <row r="14" spans="3:16" x14ac:dyDescent="0.25">
      <c r="C14" s="9" t="s">
        <v>8</v>
      </c>
      <c r="D14" s="9"/>
      <c r="E14" s="9"/>
      <c r="F14" s="9"/>
      <c r="G14" s="9"/>
      <c r="H14" s="9"/>
      <c r="K14" s="29" t="s">
        <v>45</v>
      </c>
      <c r="L14" s="12"/>
      <c r="M14" s="12"/>
      <c r="N14" s="12"/>
      <c r="O14" s="12"/>
      <c r="P14" s="12"/>
    </row>
    <row r="15" spans="3:16" x14ac:dyDescent="0.25">
      <c r="C15" s="9" t="s">
        <v>9</v>
      </c>
      <c r="D15" s="9">
        <v>218.2</v>
      </c>
      <c r="E15" s="9">
        <v>170.11</v>
      </c>
      <c r="F15" s="9">
        <v>278.82</v>
      </c>
      <c r="G15" s="9">
        <v>476.25</v>
      </c>
      <c r="H15" s="9">
        <v>329.69</v>
      </c>
      <c r="K15" s="29" t="s">
        <v>46</v>
      </c>
      <c r="L15" s="26">
        <v>11274.73</v>
      </c>
      <c r="M15" s="26">
        <v>11867.31</v>
      </c>
      <c r="N15" s="26">
        <v>11159.81</v>
      </c>
      <c r="O15" s="26">
        <v>10284.66</v>
      </c>
      <c r="P15" s="26">
        <v>8584.89</v>
      </c>
    </row>
    <row r="16" spans="3:16" x14ac:dyDescent="0.25">
      <c r="C16" s="9" t="s">
        <v>10</v>
      </c>
      <c r="D16" s="11">
        <v>1124.3900000000001</v>
      </c>
      <c r="E16" s="9">
        <v>956.35</v>
      </c>
      <c r="F16" s="9">
        <v>838.69</v>
      </c>
      <c r="G16" s="9">
        <v>706.34</v>
      </c>
      <c r="H16" s="9">
        <v>666.95</v>
      </c>
      <c r="K16" s="29" t="s">
        <v>47</v>
      </c>
      <c r="L16" s="26">
        <v>3951.15</v>
      </c>
      <c r="M16" s="26">
        <v>3697.96</v>
      </c>
      <c r="N16" s="26">
        <v>3350.19</v>
      </c>
      <c r="O16" s="26">
        <v>3235.31</v>
      </c>
      <c r="P16" s="26">
        <v>3024.14</v>
      </c>
    </row>
    <row r="17" spans="3:16" x14ac:dyDescent="0.25">
      <c r="C17" s="9" t="s">
        <v>11</v>
      </c>
      <c r="D17" s="11">
        <v>1342.59</v>
      </c>
      <c r="E17" s="11">
        <v>1126.46</v>
      </c>
      <c r="F17" s="11">
        <v>1117.51</v>
      </c>
      <c r="G17" s="11">
        <v>1182.5899999999999</v>
      </c>
      <c r="H17" s="9">
        <v>996.64</v>
      </c>
      <c r="K17" s="29" t="s">
        <v>48</v>
      </c>
      <c r="L17" s="12">
        <v>87.11</v>
      </c>
      <c r="M17" s="12">
        <v>58.28</v>
      </c>
      <c r="N17" s="12">
        <v>-166.38</v>
      </c>
      <c r="O17" s="12">
        <v>-31.13</v>
      </c>
      <c r="P17" s="12">
        <v>128.72999999999999</v>
      </c>
    </row>
    <row r="18" spans="3:16" x14ac:dyDescent="0.25">
      <c r="C18" s="9" t="s">
        <v>12</v>
      </c>
      <c r="D18" s="9"/>
      <c r="E18" s="9"/>
      <c r="F18" s="9"/>
      <c r="G18" s="9"/>
      <c r="H18" s="9"/>
      <c r="K18" s="29" t="s">
        <v>49</v>
      </c>
      <c r="L18" s="26">
        <v>1592.02</v>
      </c>
      <c r="M18" s="26">
        <v>1578.89</v>
      </c>
      <c r="N18" s="26">
        <v>1435.95</v>
      </c>
      <c r="O18" s="26">
        <v>1318.34</v>
      </c>
      <c r="P18" s="26">
        <v>1107.28</v>
      </c>
    </row>
    <row r="19" spans="3:16" x14ac:dyDescent="0.25">
      <c r="C19" s="9" t="s">
        <v>13</v>
      </c>
      <c r="D19" s="11">
        <v>5497.89</v>
      </c>
      <c r="E19" s="11">
        <v>5288.9</v>
      </c>
      <c r="F19" s="11">
        <v>5793.89</v>
      </c>
      <c r="G19" s="11">
        <v>5167.6899999999996</v>
      </c>
      <c r="H19" s="11">
        <v>4622.96</v>
      </c>
      <c r="K19" s="29" t="s">
        <v>50</v>
      </c>
      <c r="L19" s="12">
        <v>0.18</v>
      </c>
      <c r="M19" s="12">
        <v>16.82</v>
      </c>
      <c r="N19" s="12">
        <v>36.03</v>
      </c>
      <c r="O19" s="12">
        <v>25.15</v>
      </c>
      <c r="P19" s="12">
        <v>1.24</v>
      </c>
    </row>
    <row r="20" spans="3:16" x14ac:dyDescent="0.25">
      <c r="C20" s="9" t="s">
        <v>14</v>
      </c>
      <c r="D20" s="9">
        <v>853.79</v>
      </c>
      <c r="E20" s="9">
        <v>908.05</v>
      </c>
      <c r="F20" s="9">
        <v>852.94</v>
      </c>
      <c r="G20" s="9">
        <v>616.15</v>
      </c>
      <c r="H20" s="9">
        <v>546.77</v>
      </c>
      <c r="K20" s="29" t="s">
        <v>51</v>
      </c>
      <c r="L20" s="12">
        <v>320.75</v>
      </c>
      <c r="M20" s="12">
        <v>286.69</v>
      </c>
      <c r="N20" s="12">
        <v>260.55</v>
      </c>
      <c r="O20" s="12">
        <v>236.02</v>
      </c>
      <c r="P20" s="12">
        <v>218.25</v>
      </c>
    </row>
    <row r="21" spans="3:16" x14ac:dyDescent="0.25">
      <c r="C21" s="9" t="s">
        <v>15</v>
      </c>
      <c r="D21" s="11">
        <v>2785.47</v>
      </c>
      <c r="E21" s="11">
        <v>2585.87</v>
      </c>
      <c r="F21" s="11">
        <v>1957.01</v>
      </c>
      <c r="G21" s="11">
        <v>1872.02</v>
      </c>
      <c r="H21" s="11">
        <v>1278.97</v>
      </c>
      <c r="K21" s="29" t="s">
        <v>52</v>
      </c>
      <c r="L21" s="26">
        <v>9352.24</v>
      </c>
      <c r="M21" s="26">
        <v>8394.94</v>
      </c>
      <c r="N21" s="26">
        <v>7764.3</v>
      </c>
      <c r="O21" s="26">
        <v>6999.28</v>
      </c>
      <c r="P21" s="26">
        <v>5979.99</v>
      </c>
    </row>
    <row r="22" spans="3:16" x14ac:dyDescent="0.25">
      <c r="C22" s="9" t="s">
        <v>16</v>
      </c>
      <c r="D22" s="11">
        <v>9137.15</v>
      </c>
      <c r="E22" s="11">
        <v>8782.82</v>
      </c>
      <c r="F22" s="11">
        <v>8603.84</v>
      </c>
      <c r="G22" s="11">
        <v>7655.86</v>
      </c>
      <c r="H22" s="11">
        <v>6448.7</v>
      </c>
      <c r="K22" s="30" t="s">
        <v>53</v>
      </c>
      <c r="L22" s="28">
        <v>26578.18</v>
      </c>
      <c r="M22" s="28">
        <v>25900.89</v>
      </c>
      <c r="N22" s="28">
        <v>23840.45</v>
      </c>
      <c r="O22" s="28">
        <v>22067.63</v>
      </c>
      <c r="P22" s="28">
        <v>19044.52</v>
      </c>
    </row>
    <row r="23" spans="3:16" x14ac:dyDescent="0.25">
      <c r="C23" s="19" t="s">
        <v>17</v>
      </c>
      <c r="D23" s="20">
        <v>14167.03</v>
      </c>
      <c r="E23" s="20">
        <v>13634.06</v>
      </c>
      <c r="F23" s="20">
        <v>12998.4</v>
      </c>
      <c r="G23" s="20">
        <v>11512.47</v>
      </c>
      <c r="H23" s="20">
        <v>10958.27</v>
      </c>
    </row>
    <row r="24" spans="3:16" x14ac:dyDescent="0.25">
      <c r="C24" s="9" t="s">
        <v>18</v>
      </c>
      <c r="D24" s="9"/>
      <c r="E24" s="9"/>
      <c r="F24" s="9"/>
      <c r="G24" s="9"/>
      <c r="H24" s="9"/>
    </row>
    <row r="25" spans="3:16" x14ac:dyDescent="0.25">
      <c r="C25" s="9" t="s">
        <v>19</v>
      </c>
      <c r="D25" s="9"/>
      <c r="E25" s="9"/>
      <c r="F25" s="9"/>
      <c r="G25" s="9"/>
      <c r="H25" s="9"/>
    </row>
    <row r="26" spans="3:16" x14ac:dyDescent="0.25">
      <c r="C26" s="9" t="s">
        <v>20</v>
      </c>
      <c r="D26" s="11">
        <v>2902.73</v>
      </c>
      <c r="E26" s="11">
        <v>2435.5</v>
      </c>
      <c r="F26" s="11">
        <v>2397.94</v>
      </c>
      <c r="G26" s="11">
        <v>2256.79</v>
      </c>
      <c r="H26" s="11">
        <v>2117.5300000000002</v>
      </c>
    </row>
    <row r="27" spans="3:16" x14ac:dyDescent="0.25">
      <c r="C27" s="9" t="s">
        <v>82</v>
      </c>
      <c r="D27" s="9">
        <v>12</v>
      </c>
      <c r="E27" s="9">
        <v>22.03</v>
      </c>
      <c r="F27" s="9">
        <v>24.12</v>
      </c>
      <c r="G27" s="9">
        <v>36.11</v>
      </c>
      <c r="H27" s="9">
        <v>29.94</v>
      </c>
    </row>
    <row r="28" spans="3:16" x14ac:dyDescent="0.25">
      <c r="C28" s="9" t="s">
        <v>21</v>
      </c>
      <c r="D28" s="9">
        <v>385.97</v>
      </c>
      <c r="E28" s="9">
        <v>479.01</v>
      </c>
      <c r="F28" s="9">
        <v>312.08</v>
      </c>
      <c r="G28" s="9">
        <v>205.32</v>
      </c>
      <c r="H28" s="9">
        <v>205.13</v>
      </c>
    </row>
    <row r="29" spans="3:16" x14ac:dyDescent="0.25">
      <c r="C29" s="9" t="s">
        <v>84</v>
      </c>
      <c r="D29" s="9">
        <v>0</v>
      </c>
      <c r="E29" s="9">
        <v>0</v>
      </c>
      <c r="F29" s="9">
        <v>7.7</v>
      </c>
      <c r="G29" s="9">
        <v>10.32</v>
      </c>
      <c r="H29" s="9">
        <v>10.32</v>
      </c>
    </row>
    <row r="30" spans="3:16" x14ac:dyDescent="0.25">
      <c r="C30" s="9" t="s">
        <v>22</v>
      </c>
      <c r="D30" s="11">
        <v>3300.7</v>
      </c>
      <c r="E30" s="11">
        <v>2936.54</v>
      </c>
      <c r="F30" s="11">
        <v>2741.84</v>
      </c>
      <c r="G30" s="11">
        <v>2508.54</v>
      </c>
      <c r="H30" s="11">
        <v>2362.92</v>
      </c>
    </row>
    <row r="31" spans="3:16" x14ac:dyDescent="0.25">
      <c r="C31" s="9" t="s">
        <v>74</v>
      </c>
      <c r="D31" s="9">
        <v>669.03</v>
      </c>
      <c r="E31" s="9">
        <v>654.11</v>
      </c>
      <c r="F31" s="9">
        <v>636.16999999999996</v>
      </c>
      <c r="G31" s="9">
        <v>548.03</v>
      </c>
      <c r="H31" s="9">
        <v>186.31</v>
      </c>
    </row>
    <row r="32" spans="3:16" x14ac:dyDescent="0.25">
      <c r="C32" s="9" t="s">
        <v>23</v>
      </c>
      <c r="D32" s="9">
        <v>230.86</v>
      </c>
      <c r="E32" s="9">
        <v>195.96</v>
      </c>
      <c r="F32" s="9">
        <v>161.72999999999999</v>
      </c>
      <c r="G32" s="9">
        <v>204.78</v>
      </c>
      <c r="H32" s="9">
        <v>214.24</v>
      </c>
    </row>
    <row r="33" spans="3:8" x14ac:dyDescent="0.25">
      <c r="C33" s="9" t="s">
        <v>24</v>
      </c>
      <c r="D33" s="9">
        <v>581.29999999999995</v>
      </c>
      <c r="E33" s="9">
        <v>583.46</v>
      </c>
      <c r="F33" s="9">
        <v>605.51</v>
      </c>
      <c r="G33" s="9">
        <v>384.29</v>
      </c>
      <c r="H33" s="9">
        <v>396.18</v>
      </c>
    </row>
    <row r="34" spans="3:8" x14ac:dyDescent="0.25">
      <c r="C34" s="9" t="s">
        <v>25</v>
      </c>
      <c r="D34" s="9">
        <v>0.17</v>
      </c>
      <c r="E34" s="9">
        <v>0.44</v>
      </c>
      <c r="F34" s="9">
        <v>0.68</v>
      </c>
      <c r="G34" s="9">
        <v>296.83999999999997</v>
      </c>
      <c r="H34" s="9">
        <v>0</v>
      </c>
    </row>
    <row r="35" spans="3:8" x14ac:dyDescent="0.25">
      <c r="C35" s="9" t="s">
        <v>26</v>
      </c>
      <c r="D35" s="11">
        <v>4782.0600000000004</v>
      </c>
      <c r="E35" s="11">
        <v>4370.51</v>
      </c>
      <c r="F35" s="11">
        <v>4145.93</v>
      </c>
      <c r="G35" s="11">
        <v>3942.48</v>
      </c>
      <c r="H35" s="11">
        <v>3159.65</v>
      </c>
    </row>
    <row r="36" spans="3:8" x14ac:dyDescent="0.25">
      <c r="C36" s="9" t="s">
        <v>27</v>
      </c>
      <c r="D36" s="9"/>
      <c r="E36" s="9"/>
      <c r="F36" s="9"/>
      <c r="G36" s="9"/>
      <c r="H36" s="9"/>
    </row>
    <row r="37" spans="3:8" x14ac:dyDescent="0.25">
      <c r="C37" s="9" t="s">
        <v>75</v>
      </c>
      <c r="D37" s="11">
        <v>2297.52</v>
      </c>
      <c r="E37" s="11">
        <v>2623.82</v>
      </c>
      <c r="F37" s="11">
        <v>2457.9499999999998</v>
      </c>
      <c r="G37" s="11">
        <v>1782.63</v>
      </c>
      <c r="H37" s="11">
        <v>2251.9</v>
      </c>
    </row>
    <row r="38" spans="3:8" x14ac:dyDescent="0.25">
      <c r="C38" s="9" t="s">
        <v>28</v>
      </c>
      <c r="D38" s="11">
        <v>2528.36</v>
      </c>
      <c r="E38" s="11">
        <v>2602.6799999999998</v>
      </c>
      <c r="F38" s="11">
        <v>2747.53</v>
      </c>
      <c r="G38" s="11">
        <v>2526.9899999999998</v>
      </c>
      <c r="H38" s="11">
        <v>2516.65</v>
      </c>
    </row>
    <row r="39" spans="3:8" x14ac:dyDescent="0.25">
      <c r="C39" s="9" t="s">
        <v>29</v>
      </c>
      <c r="D39" s="11">
        <v>2758.82</v>
      </c>
      <c r="E39" s="9">
        <v>782.94</v>
      </c>
      <c r="F39" s="9">
        <v>816.43</v>
      </c>
      <c r="G39" s="9">
        <v>833.48</v>
      </c>
      <c r="H39" s="9">
        <v>678.99</v>
      </c>
    </row>
    <row r="40" spans="3:8" x14ac:dyDescent="0.25">
      <c r="C40" s="9" t="s">
        <v>30</v>
      </c>
      <c r="D40" s="11">
        <v>1064.52</v>
      </c>
      <c r="E40" s="11">
        <v>2537.56</v>
      </c>
      <c r="F40" s="11">
        <v>2220.9699999999998</v>
      </c>
      <c r="G40" s="11">
        <v>1707.89</v>
      </c>
      <c r="H40" s="11">
        <v>1830.04</v>
      </c>
    </row>
    <row r="41" spans="3:8" x14ac:dyDescent="0.25">
      <c r="C41" s="9" t="s">
        <v>31</v>
      </c>
      <c r="D41" s="9">
        <v>673.29</v>
      </c>
      <c r="E41" s="9">
        <v>657.27</v>
      </c>
      <c r="F41" s="9">
        <v>537.67999999999995</v>
      </c>
      <c r="G41" s="9">
        <v>648.26</v>
      </c>
      <c r="H41" s="9">
        <v>485.79</v>
      </c>
    </row>
    <row r="42" spans="3:8" x14ac:dyDescent="0.25">
      <c r="C42" s="9" t="s">
        <v>32</v>
      </c>
      <c r="D42" s="9">
        <v>62.46</v>
      </c>
      <c r="E42" s="9">
        <v>59.28</v>
      </c>
      <c r="F42" s="9">
        <v>71.91</v>
      </c>
      <c r="G42" s="9">
        <v>70.739999999999995</v>
      </c>
      <c r="H42" s="9">
        <v>35.25</v>
      </c>
    </row>
    <row r="43" spans="3:8" x14ac:dyDescent="0.25">
      <c r="C43" s="9" t="s">
        <v>33</v>
      </c>
      <c r="D43" s="11">
        <v>9384.9699999999993</v>
      </c>
      <c r="E43" s="11">
        <v>9263.5499999999993</v>
      </c>
      <c r="F43" s="11">
        <v>8852.4699999999993</v>
      </c>
      <c r="G43" s="11">
        <v>7569.99</v>
      </c>
      <c r="H43" s="11">
        <v>7798.62</v>
      </c>
    </row>
    <row r="44" spans="3:8" x14ac:dyDescent="0.25">
      <c r="C44" s="19" t="s">
        <v>34</v>
      </c>
      <c r="D44" s="20">
        <v>14167.03</v>
      </c>
      <c r="E44" s="20">
        <v>13634.06</v>
      </c>
      <c r="F44" s="20">
        <v>12998.4</v>
      </c>
      <c r="G44" s="20">
        <v>11512.47</v>
      </c>
      <c r="H44" s="20">
        <v>10958.27</v>
      </c>
    </row>
    <row r="47" spans="3:8" ht="15.75" x14ac:dyDescent="0.25">
      <c r="D47" s="55" t="s">
        <v>36</v>
      </c>
      <c r="E47" s="55"/>
      <c r="F47" s="55"/>
      <c r="G47" s="55"/>
      <c r="H47" s="55"/>
    </row>
    <row r="48" spans="3:8" x14ac:dyDescent="0.25">
      <c r="D48" s="31">
        <v>42430</v>
      </c>
      <c r="E48" s="31">
        <v>42064</v>
      </c>
      <c r="F48" s="31">
        <v>41699</v>
      </c>
      <c r="G48" s="31">
        <v>41334</v>
      </c>
      <c r="H48" s="31">
        <v>40969</v>
      </c>
    </row>
    <row r="49" spans="3:8" x14ac:dyDescent="0.25">
      <c r="C49" s="15" t="s">
        <v>55</v>
      </c>
      <c r="D49" s="15">
        <v>18.87</v>
      </c>
      <c r="E49" s="15">
        <v>19.95</v>
      </c>
      <c r="F49" s="15">
        <v>17.88</v>
      </c>
      <c r="G49" s="15">
        <v>17.559999999999999</v>
      </c>
      <c r="H49" s="15">
        <v>12.46</v>
      </c>
    </row>
    <row r="50" spans="3:8" x14ac:dyDescent="0.25">
      <c r="C50" s="15" t="s">
        <v>80</v>
      </c>
      <c r="D50" s="15">
        <v>110.73</v>
      </c>
      <c r="E50" s="15">
        <v>115.87</v>
      </c>
      <c r="F50" s="15">
        <v>118.04</v>
      </c>
      <c r="G50" s="15">
        <v>142.01</v>
      </c>
      <c r="H50" s="15">
        <v>76.62</v>
      </c>
    </row>
    <row r="51" spans="3:8" x14ac:dyDescent="0.25">
      <c r="C51" s="15" t="s">
        <v>57</v>
      </c>
      <c r="D51" s="15">
        <v>12.65</v>
      </c>
      <c r="E51" s="15">
        <v>11.84</v>
      </c>
      <c r="F51" s="15">
        <v>10.199999999999999</v>
      </c>
      <c r="G51" s="15">
        <v>10.210000000000001</v>
      </c>
      <c r="H51" s="15">
        <v>8.7899999999999991</v>
      </c>
    </row>
    <row r="52" spans="3:8" x14ac:dyDescent="0.25">
      <c r="C52" s="15" t="s">
        <v>58</v>
      </c>
      <c r="D52" s="15">
        <v>84.8</v>
      </c>
      <c r="E52" s="15">
        <v>75.2</v>
      </c>
      <c r="F52" s="15">
        <v>72.69</v>
      </c>
      <c r="G52" s="15">
        <v>105.35</v>
      </c>
      <c r="H52" s="15">
        <v>60.22</v>
      </c>
    </row>
    <row r="53" spans="3:8" x14ac:dyDescent="0.25">
      <c r="C53" s="15" t="s">
        <v>59</v>
      </c>
      <c r="D53" s="15">
        <v>15.2</v>
      </c>
      <c r="E53" s="15">
        <v>24.8</v>
      </c>
      <c r="F53" s="15">
        <v>27.31</v>
      </c>
      <c r="G53" s="15">
        <v>-5.35</v>
      </c>
      <c r="H53" s="15">
        <v>39.78</v>
      </c>
    </row>
    <row r="54" spans="3:8" x14ac:dyDescent="0.25">
      <c r="C54" s="15" t="s">
        <v>56</v>
      </c>
      <c r="D54" s="15">
        <v>12.76</v>
      </c>
      <c r="E54" s="15">
        <v>14</v>
      </c>
      <c r="F54" s="15">
        <v>13.8</v>
      </c>
      <c r="G54" s="15">
        <v>14.7</v>
      </c>
      <c r="H54" s="15">
        <v>12.16</v>
      </c>
    </row>
    <row r="57" spans="3:8" ht="18.75" x14ac:dyDescent="0.25">
      <c r="C57" s="17" t="s">
        <v>85</v>
      </c>
    </row>
    <row r="59" spans="3:8" ht="15.75" x14ac:dyDescent="0.25">
      <c r="C59" s="21"/>
      <c r="D59" s="22">
        <v>2012</v>
      </c>
      <c r="E59" s="22">
        <v>2013</v>
      </c>
      <c r="F59" s="22">
        <v>2014</v>
      </c>
      <c r="G59" s="22">
        <v>2015</v>
      </c>
      <c r="H59" s="22">
        <v>2016</v>
      </c>
    </row>
    <row r="60" spans="3:8" ht="15.75" x14ac:dyDescent="0.25">
      <c r="C60" s="22" t="s">
        <v>70</v>
      </c>
      <c r="D60" s="21">
        <v>31.82</v>
      </c>
      <c r="E60" s="21">
        <v>33.96</v>
      </c>
      <c r="F60" s="21">
        <v>37.15</v>
      </c>
      <c r="G60" s="21">
        <v>33.68</v>
      </c>
      <c r="H60" s="21">
        <v>28.16</v>
      </c>
    </row>
    <row r="61" spans="3:8" ht="15.75" x14ac:dyDescent="0.25">
      <c r="C61" s="22" t="s">
        <v>63</v>
      </c>
      <c r="D61" s="21" t="s">
        <v>81</v>
      </c>
      <c r="E61" s="21" t="s">
        <v>81</v>
      </c>
      <c r="F61" s="21" t="s">
        <v>81</v>
      </c>
      <c r="G61" s="21" t="s">
        <v>81</v>
      </c>
      <c r="H61" s="21">
        <v>51.65</v>
      </c>
    </row>
    <row r="62" spans="3:8" ht="15.75" x14ac:dyDescent="0.25">
      <c r="C62" s="22" t="s">
        <v>64</v>
      </c>
      <c r="D62" s="21" t="s">
        <v>81</v>
      </c>
      <c r="E62" s="21" t="s">
        <v>81</v>
      </c>
      <c r="F62" s="21" t="s">
        <v>81</v>
      </c>
      <c r="G62" s="21" t="s">
        <v>81</v>
      </c>
      <c r="H62" s="21">
        <v>135.11000000000001</v>
      </c>
    </row>
    <row r="63" spans="3:8" ht="15.75" x14ac:dyDescent="0.25">
      <c r="C63" s="22" t="s">
        <v>65</v>
      </c>
      <c r="D63" s="21" t="s">
        <v>81</v>
      </c>
      <c r="E63" s="21" t="s">
        <v>81</v>
      </c>
      <c r="F63" s="21" t="s">
        <v>81</v>
      </c>
      <c r="G63" s="21" t="s">
        <v>81</v>
      </c>
      <c r="H63" s="21">
        <v>-55.3</v>
      </c>
    </row>
    <row r="64" spans="3:8" ht="15.75" x14ac:dyDescent="0.25">
      <c r="C64" s="22" t="s">
        <v>66</v>
      </c>
      <c r="D64" s="21">
        <v>11.47</v>
      </c>
      <c r="E64" s="21">
        <v>10.75</v>
      </c>
      <c r="F64" s="21">
        <v>9.82</v>
      </c>
      <c r="G64" s="21">
        <v>10.84</v>
      </c>
      <c r="H64" s="21">
        <v>12.96</v>
      </c>
    </row>
    <row r="65" spans="3:8" ht="15.75" x14ac:dyDescent="0.25">
      <c r="C65" s="22" t="s">
        <v>67</v>
      </c>
      <c r="D65" s="21" t="s">
        <v>81</v>
      </c>
      <c r="E65" s="21" t="s">
        <v>81</v>
      </c>
      <c r="F65" s="21" t="s">
        <v>81</v>
      </c>
      <c r="G65" s="21" t="s">
        <v>81</v>
      </c>
      <c r="H65" s="21">
        <v>7.07</v>
      </c>
    </row>
    <row r="66" spans="3:8" ht="15.75" x14ac:dyDescent="0.25">
      <c r="C66" s="22" t="s">
        <v>68</v>
      </c>
      <c r="D66" s="21">
        <v>5.63</v>
      </c>
      <c r="E66" s="21">
        <v>5.3</v>
      </c>
      <c r="F66" s="21" t="s">
        <v>81</v>
      </c>
      <c r="G66" s="21" t="s">
        <v>81</v>
      </c>
      <c r="H66" s="21">
        <v>4.5199999999999996</v>
      </c>
    </row>
    <row r="67" spans="3:8" ht="15.75" x14ac:dyDescent="0.25">
      <c r="C67" s="22" t="s">
        <v>69</v>
      </c>
      <c r="D67" s="21">
        <v>1.1000000000000001</v>
      </c>
      <c r="E67" s="21">
        <v>1.0900000000000001</v>
      </c>
      <c r="F67" s="21">
        <v>1.04</v>
      </c>
      <c r="G67" s="21">
        <v>1.06</v>
      </c>
      <c r="H67" s="21">
        <v>0.97</v>
      </c>
    </row>
  </sheetData>
  <mergeCells count="3">
    <mergeCell ref="D4:H4"/>
    <mergeCell ref="L4:P4"/>
    <mergeCell ref="D47:H4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Q75"/>
  <sheetViews>
    <sheetView topLeftCell="A50" workbookViewId="0">
      <selection activeCell="D56" sqref="D56:H56"/>
    </sheetView>
  </sheetViews>
  <sheetFormatPr defaultRowHeight="15" x14ac:dyDescent="0.25"/>
  <cols>
    <col min="3" max="3" width="35.42578125" bestFit="1" customWidth="1"/>
    <col min="4" max="8" width="10.140625" bestFit="1" customWidth="1"/>
    <col min="12" max="12" width="48.85546875" bestFit="1" customWidth="1"/>
    <col min="13" max="17" width="10.140625" bestFit="1" customWidth="1"/>
  </cols>
  <sheetData>
    <row r="2" spans="3:17" ht="18.75" x14ac:dyDescent="0.3">
      <c r="C2" s="8" t="s">
        <v>35</v>
      </c>
    </row>
    <row r="4" spans="3:17" ht="15.75" x14ac:dyDescent="0.25">
      <c r="C4" s="32"/>
      <c r="D4" s="55" t="s">
        <v>36</v>
      </c>
      <c r="E4" s="55"/>
      <c r="F4" s="55"/>
      <c r="G4" s="55"/>
      <c r="H4" s="55"/>
      <c r="L4" s="1"/>
      <c r="M4" s="55" t="s">
        <v>36</v>
      </c>
      <c r="N4" s="55"/>
      <c r="O4" s="55"/>
      <c r="P4" s="55"/>
      <c r="Q4" s="55"/>
    </row>
    <row r="5" spans="3:17" ht="15.75" x14ac:dyDescent="0.25">
      <c r="C5" s="1"/>
      <c r="D5" s="4">
        <v>42430</v>
      </c>
      <c r="E5" s="4">
        <v>42064</v>
      </c>
      <c r="F5" s="4">
        <v>41699</v>
      </c>
      <c r="G5" s="4">
        <v>41334</v>
      </c>
      <c r="H5" s="4">
        <v>40969</v>
      </c>
      <c r="L5" s="1"/>
      <c r="M5" s="4">
        <v>42430</v>
      </c>
      <c r="N5" s="4">
        <v>42064</v>
      </c>
      <c r="O5" s="4">
        <v>41699</v>
      </c>
      <c r="P5" s="4">
        <v>41334</v>
      </c>
      <c r="Q5" s="4">
        <v>40969</v>
      </c>
    </row>
    <row r="6" spans="3:17" ht="15.75" x14ac:dyDescent="0.25">
      <c r="C6" s="1"/>
      <c r="D6" s="2"/>
      <c r="E6" s="2"/>
      <c r="F6" s="2"/>
      <c r="G6" s="2"/>
      <c r="H6" s="2"/>
      <c r="L6" s="1"/>
      <c r="M6" s="1"/>
      <c r="N6" s="1"/>
      <c r="O6" s="1"/>
      <c r="P6" s="1"/>
      <c r="Q6" s="1"/>
    </row>
    <row r="7" spans="3:17" ht="15.75" x14ac:dyDescent="0.25">
      <c r="C7" s="1"/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L7" s="1"/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</row>
    <row r="8" spans="3:17" ht="15.75" x14ac:dyDescent="0.25">
      <c r="C8" s="1"/>
      <c r="D8" s="1"/>
      <c r="E8" s="1"/>
      <c r="F8" s="1"/>
      <c r="G8" s="1"/>
      <c r="H8" s="1"/>
      <c r="L8" s="1"/>
      <c r="M8" s="1"/>
      <c r="N8" s="1"/>
      <c r="O8" s="1"/>
      <c r="P8" s="1"/>
      <c r="Q8" s="1"/>
    </row>
    <row r="9" spans="3:17" ht="15.75" x14ac:dyDescent="0.25">
      <c r="C9" s="1" t="s">
        <v>1</v>
      </c>
      <c r="D9" s="1"/>
      <c r="E9" s="1"/>
      <c r="F9" s="1"/>
      <c r="G9" s="1"/>
      <c r="H9" s="1"/>
      <c r="L9" s="1" t="s">
        <v>37</v>
      </c>
      <c r="M9" s="1"/>
      <c r="N9" s="1"/>
      <c r="O9" s="1"/>
      <c r="P9" s="1"/>
      <c r="Q9" s="1"/>
    </row>
    <row r="10" spans="3:17" ht="15.75" x14ac:dyDescent="0.25">
      <c r="C10" s="1" t="s">
        <v>2</v>
      </c>
      <c r="D10" s="1"/>
      <c r="E10" s="1"/>
      <c r="F10" s="1"/>
      <c r="G10" s="1"/>
      <c r="H10" s="1"/>
      <c r="L10" s="1" t="s">
        <v>38</v>
      </c>
      <c r="M10" s="3">
        <v>51582.45</v>
      </c>
      <c r="N10" s="3">
        <v>49964.82</v>
      </c>
      <c r="O10" s="3">
        <v>49964.82</v>
      </c>
      <c r="P10" s="3">
        <v>46712.62</v>
      </c>
      <c r="Q10" s="3">
        <v>41809.82</v>
      </c>
    </row>
    <row r="11" spans="3:17" ht="15.75" x14ac:dyDescent="0.25">
      <c r="C11" s="1" t="s">
        <v>3</v>
      </c>
      <c r="D11" s="1">
        <v>804.72</v>
      </c>
      <c r="E11" s="1">
        <v>801.55</v>
      </c>
      <c r="F11" s="1">
        <v>801.55</v>
      </c>
      <c r="G11" s="1">
        <v>795.32</v>
      </c>
      <c r="H11" s="1">
        <v>790.18</v>
      </c>
      <c r="L11" s="1" t="s">
        <v>39</v>
      </c>
      <c r="M11" s="3">
        <v>15107.18</v>
      </c>
      <c r="N11" s="3">
        <v>13881.61</v>
      </c>
      <c r="O11" s="3">
        <v>13881.61</v>
      </c>
      <c r="P11" s="3">
        <v>13830.06</v>
      </c>
      <c r="Q11" s="3">
        <v>12204.24</v>
      </c>
    </row>
    <row r="12" spans="3:17" ht="15.75" x14ac:dyDescent="0.25">
      <c r="C12" s="1" t="s">
        <v>4</v>
      </c>
      <c r="D12" s="1">
        <v>804.72</v>
      </c>
      <c r="E12" s="1">
        <v>801.55</v>
      </c>
      <c r="F12" s="1">
        <v>801.55</v>
      </c>
      <c r="G12" s="1">
        <v>795.32</v>
      </c>
      <c r="H12" s="1">
        <v>790.18</v>
      </c>
      <c r="L12" s="1" t="s">
        <v>40</v>
      </c>
      <c r="M12" s="3">
        <v>36475.269999999997</v>
      </c>
      <c r="N12" s="3">
        <v>36083.21</v>
      </c>
      <c r="O12" s="3">
        <v>36083.21</v>
      </c>
      <c r="P12" s="3">
        <v>32882.559999999998</v>
      </c>
      <c r="Q12" s="3">
        <v>29605.58</v>
      </c>
    </row>
    <row r="13" spans="3:17" ht="15.75" x14ac:dyDescent="0.25">
      <c r="C13" s="1" t="s">
        <v>83</v>
      </c>
      <c r="D13" s="1">
        <v>52.41</v>
      </c>
      <c r="E13" s="1">
        <v>52.41</v>
      </c>
      <c r="F13" s="1">
        <v>52.41</v>
      </c>
      <c r="G13" s="1">
        <v>52.41</v>
      </c>
      <c r="H13" s="1">
        <v>52.75</v>
      </c>
      <c r="L13" s="1" t="s">
        <v>41</v>
      </c>
      <c r="M13" s="1">
        <v>362.12</v>
      </c>
      <c r="N13" s="1">
        <v>424.19</v>
      </c>
      <c r="O13" s="1">
        <v>424.19</v>
      </c>
      <c r="P13" s="1">
        <v>356.04</v>
      </c>
      <c r="Q13" s="1">
        <v>295.69</v>
      </c>
    </row>
    <row r="14" spans="3:17" ht="15.75" x14ac:dyDescent="0.25">
      <c r="C14" s="1" t="s">
        <v>5</v>
      </c>
      <c r="D14" s="3">
        <v>32071.87</v>
      </c>
      <c r="E14" s="3">
        <v>29881.73</v>
      </c>
      <c r="F14" s="3">
        <v>29881.73</v>
      </c>
      <c r="G14" s="3">
        <v>25414.29</v>
      </c>
      <c r="H14" s="3">
        <v>21444.92</v>
      </c>
      <c r="L14" s="1" t="s">
        <v>42</v>
      </c>
      <c r="M14" s="3">
        <v>36837.39</v>
      </c>
      <c r="N14" s="3">
        <v>36507.4</v>
      </c>
      <c r="O14" s="3">
        <v>36507.4</v>
      </c>
      <c r="P14" s="3">
        <v>33238.6</v>
      </c>
      <c r="Q14" s="3">
        <v>29901.27</v>
      </c>
    </row>
    <row r="15" spans="3:17" ht="15.75" x14ac:dyDescent="0.25">
      <c r="C15" s="1" t="s">
        <v>6</v>
      </c>
      <c r="D15" s="3">
        <v>32124.28</v>
      </c>
      <c r="E15" s="3">
        <v>29934.14</v>
      </c>
      <c r="F15" s="3">
        <v>29934.14</v>
      </c>
      <c r="G15" s="3">
        <v>25466.7</v>
      </c>
      <c r="H15" s="3">
        <v>21497.67</v>
      </c>
      <c r="L15" s="1" t="s">
        <v>43</v>
      </c>
      <c r="M15" s="3">
        <v>1803.74</v>
      </c>
      <c r="N15" s="3">
        <v>1543.13</v>
      </c>
      <c r="O15" s="3">
        <v>1543.13</v>
      </c>
      <c r="P15" s="3">
        <v>1107.1400000000001</v>
      </c>
      <c r="Q15" s="1">
        <v>938.7</v>
      </c>
    </row>
    <row r="16" spans="3:17" ht="15.75" x14ac:dyDescent="0.25">
      <c r="C16" s="1" t="s">
        <v>7</v>
      </c>
      <c r="D16" s="3">
        <v>32929</v>
      </c>
      <c r="E16" s="3">
        <v>30735.69</v>
      </c>
      <c r="F16" s="3">
        <v>30735.69</v>
      </c>
      <c r="G16" s="3">
        <v>26262.02</v>
      </c>
      <c r="H16" s="3">
        <v>22287.85</v>
      </c>
      <c r="L16" s="33" t="s">
        <v>44</v>
      </c>
      <c r="M16" s="34">
        <v>38641.129999999997</v>
      </c>
      <c r="N16" s="34">
        <v>38050.53</v>
      </c>
      <c r="O16" s="34">
        <v>38050.53</v>
      </c>
      <c r="P16" s="34">
        <v>34345.74</v>
      </c>
      <c r="Q16" s="34">
        <v>30839.97</v>
      </c>
    </row>
    <row r="17" spans="3:17" ht="15.75" x14ac:dyDescent="0.25">
      <c r="C17" s="1" t="s">
        <v>8</v>
      </c>
      <c r="D17" s="1"/>
      <c r="E17" s="1"/>
      <c r="F17" s="1"/>
      <c r="G17" s="1"/>
      <c r="H17" s="1"/>
      <c r="L17" s="1" t="s">
        <v>45</v>
      </c>
      <c r="M17" s="1"/>
      <c r="N17" s="1"/>
      <c r="O17" s="1"/>
      <c r="P17" s="1"/>
      <c r="Q17" s="1"/>
    </row>
    <row r="18" spans="3:17" ht="15.75" x14ac:dyDescent="0.25">
      <c r="C18" s="1" t="s">
        <v>71</v>
      </c>
      <c r="D18" s="1">
        <v>25.83</v>
      </c>
      <c r="E18" s="1">
        <v>38.69</v>
      </c>
      <c r="F18" s="1">
        <v>38.69</v>
      </c>
      <c r="G18" s="1">
        <v>51</v>
      </c>
      <c r="H18" s="1">
        <v>66.400000000000006</v>
      </c>
      <c r="L18" s="1" t="s">
        <v>46</v>
      </c>
      <c r="M18" s="3">
        <v>11054.75</v>
      </c>
      <c r="N18" s="3">
        <v>10987.83</v>
      </c>
      <c r="O18" s="3">
        <v>10987.83</v>
      </c>
      <c r="P18" s="3">
        <v>10263.280000000001</v>
      </c>
      <c r="Q18" s="3">
        <v>8936.2099999999991</v>
      </c>
    </row>
    <row r="19" spans="3:17" ht="15.75" x14ac:dyDescent="0.25">
      <c r="C19" s="1" t="s">
        <v>72</v>
      </c>
      <c r="D19" s="3">
        <v>1848.42</v>
      </c>
      <c r="E19" s="3">
        <v>1631.6</v>
      </c>
      <c r="F19" s="3">
        <v>1631.6</v>
      </c>
      <c r="G19" s="3">
        <v>1296.96</v>
      </c>
      <c r="H19" s="3">
        <v>1203.72</v>
      </c>
      <c r="L19" s="1" t="s">
        <v>47</v>
      </c>
      <c r="M19" s="3">
        <v>2590.08</v>
      </c>
      <c r="N19" s="3">
        <v>3898.66</v>
      </c>
      <c r="O19" s="3">
        <v>3898.66</v>
      </c>
      <c r="P19" s="3">
        <v>3021.47</v>
      </c>
      <c r="Q19" s="3">
        <v>3375.92</v>
      </c>
    </row>
    <row r="20" spans="3:17" ht="15.75" x14ac:dyDescent="0.25">
      <c r="C20" s="1" t="s">
        <v>9</v>
      </c>
      <c r="D20" s="1">
        <v>15.13</v>
      </c>
      <c r="E20" s="1">
        <v>7.05</v>
      </c>
      <c r="F20" s="1">
        <v>7.05</v>
      </c>
      <c r="G20" s="1">
        <v>5.09</v>
      </c>
      <c r="H20" s="1">
        <v>3.11</v>
      </c>
      <c r="L20" s="1" t="s">
        <v>48</v>
      </c>
      <c r="M20" s="1">
        <v>58.17</v>
      </c>
      <c r="N20" s="1">
        <v>-214.53</v>
      </c>
      <c r="O20" s="1">
        <v>-214.53</v>
      </c>
      <c r="P20" s="1">
        <v>-128.41</v>
      </c>
      <c r="Q20" s="1">
        <v>-246.35</v>
      </c>
    </row>
    <row r="21" spans="3:17" ht="15.75" x14ac:dyDescent="0.25">
      <c r="C21" s="1" t="s">
        <v>10</v>
      </c>
      <c r="D21" s="1">
        <v>112.19</v>
      </c>
      <c r="E21" s="1">
        <v>100.72</v>
      </c>
      <c r="F21" s="1">
        <v>100.72</v>
      </c>
      <c r="G21" s="1">
        <v>110</v>
      </c>
      <c r="H21" s="1">
        <v>125.62</v>
      </c>
      <c r="L21" s="1" t="s">
        <v>49</v>
      </c>
      <c r="M21" s="3">
        <v>1883.51</v>
      </c>
      <c r="N21" s="3">
        <v>1780.04</v>
      </c>
      <c r="O21" s="3">
        <v>1780.04</v>
      </c>
      <c r="P21" s="3">
        <v>1608.37</v>
      </c>
      <c r="Q21" s="3">
        <v>1387.01</v>
      </c>
    </row>
    <row r="22" spans="3:17" ht="15.75" x14ac:dyDescent="0.25">
      <c r="C22" s="1" t="s">
        <v>11</v>
      </c>
      <c r="D22" s="3">
        <v>2001.57</v>
      </c>
      <c r="E22" s="3">
        <v>1778.06</v>
      </c>
      <c r="F22" s="3">
        <v>1778.06</v>
      </c>
      <c r="G22" s="3">
        <v>1463.05</v>
      </c>
      <c r="H22" s="3">
        <v>1398.85</v>
      </c>
      <c r="L22" s="1" t="s">
        <v>50</v>
      </c>
      <c r="M22" s="1">
        <v>49.13</v>
      </c>
      <c r="N22" s="1">
        <v>57.42</v>
      </c>
      <c r="O22" s="1">
        <v>57.42</v>
      </c>
      <c r="P22" s="1">
        <v>2.95</v>
      </c>
      <c r="Q22" s="1">
        <v>86.47</v>
      </c>
    </row>
    <row r="23" spans="3:17" ht="15.75" x14ac:dyDescent="0.25">
      <c r="C23" s="1" t="s">
        <v>12</v>
      </c>
      <c r="D23" s="1"/>
      <c r="E23" s="1"/>
      <c r="F23" s="1"/>
      <c r="G23" s="1"/>
      <c r="H23" s="1"/>
      <c r="L23" s="1" t="s">
        <v>51</v>
      </c>
      <c r="M23" s="3">
        <v>1034.45</v>
      </c>
      <c r="N23" s="1">
        <v>961.74</v>
      </c>
      <c r="O23" s="1">
        <v>961.74</v>
      </c>
      <c r="P23" s="1">
        <v>899.92</v>
      </c>
      <c r="Q23" s="1">
        <v>795.56</v>
      </c>
    </row>
    <row r="24" spans="3:17" ht="15.75" x14ac:dyDescent="0.25">
      <c r="C24" s="1" t="s">
        <v>73</v>
      </c>
      <c r="D24" s="1">
        <v>3.6</v>
      </c>
      <c r="E24" s="1">
        <v>0.02</v>
      </c>
      <c r="F24" s="1">
        <v>0.02</v>
      </c>
      <c r="G24" s="1">
        <v>0.14000000000000001</v>
      </c>
      <c r="H24" s="1">
        <v>0</v>
      </c>
      <c r="L24" s="1" t="s">
        <v>52</v>
      </c>
      <c r="M24" s="3">
        <v>7012.65</v>
      </c>
      <c r="N24" s="3">
        <v>6581.85</v>
      </c>
      <c r="O24" s="3">
        <v>6581.85</v>
      </c>
      <c r="P24" s="3">
        <v>6019.05</v>
      </c>
      <c r="Q24" s="3">
        <v>5820.97</v>
      </c>
    </row>
    <row r="25" spans="3:17" ht="15.75" x14ac:dyDescent="0.25">
      <c r="C25" s="1" t="s">
        <v>13</v>
      </c>
      <c r="D25" s="3">
        <v>2265.59</v>
      </c>
      <c r="E25" s="3">
        <v>1904.62</v>
      </c>
      <c r="F25" s="3">
        <v>1904.62</v>
      </c>
      <c r="G25" s="3">
        <v>1987.59</v>
      </c>
      <c r="H25" s="3">
        <v>1668.98</v>
      </c>
      <c r="L25" s="33" t="s">
        <v>53</v>
      </c>
      <c r="M25" s="34">
        <v>23682.74</v>
      </c>
      <c r="N25" s="34">
        <v>24053.01</v>
      </c>
      <c r="O25" s="34">
        <v>24053.01</v>
      </c>
      <c r="P25" s="34">
        <v>21686.63</v>
      </c>
      <c r="Q25" s="34">
        <v>20155.79</v>
      </c>
    </row>
    <row r="26" spans="3:17" ht="15.75" x14ac:dyDescent="0.25">
      <c r="C26" s="1" t="s">
        <v>14</v>
      </c>
      <c r="D26" s="3">
        <v>4000.08</v>
      </c>
      <c r="E26" s="3">
        <v>3671.18</v>
      </c>
      <c r="F26" s="3">
        <v>3671.18</v>
      </c>
      <c r="G26" s="3">
        <v>3631.88</v>
      </c>
      <c r="H26" s="3">
        <v>3528.62</v>
      </c>
    </row>
    <row r="27" spans="3:17" ht="15.75" x14ac:dyDescent="0.25">
      <c r="C27" s="1" t="s">
        <v>15</v>
      </c>
      <c r="D27" s="3">
        <v>8318.59</v>
      </c>
      <c r="E27" s="3">
        <v>6106.09</v>
      </c>
      <c r="F27" s="3">
        <v>6106.09</v>
      </c>
      <c r="G27" s="3">
        <v>5884.71</v>
      </c>
      <c r="H27" s="3">
        <v>5133.13</v>
      </c>
    </row>
    <row r="28" spans="3:17" ht="15.75" x14ac:dyDescent="0.25">
      <c r="C28" s="1" t="s">
        <v>16</v>
      </c>
      <c r="D28" s="3">
        <v>14587.86</v>
      </c>
      <c r="E28" s="3">
        <v>11681.91</v>
      </c>
      <c r="F28" s="3">
        <v>11681.91</v>
      </c>
      <c r="G28" s="3">
        <v>11504.32</v>
      </c>
      <c r="H28" s="3">
        <v>10330.73</v>
      </c>
    </row>
    <row r="29" spans="3:17" ht="15.75" x14ac:dyDescent="0.25">
      <c r="C29" s="33" t="s">
        <v>17</v>
      </c>
      <c r="D29" s="34">
        <v>49518.43</v>
      </c>
      <c r="E29" s="34">
        <v>44195.66</v>
      </c>
      <c r="F29" s="34">
        <v>44195.66</v>
      </c>
      <c r="G29" s="34">
        <v>39229.39</v>
      </c>
      <c r="H29" s="34">
        <v>34017.43</v>
      </c>
    </row>
    <row r="30" spans="3:17" ht="15.75" x14ac:dyDescent="0.25">
      <c r="C30" s="1" t="s">
        <v>18</v>
      </c>
      <c r="D30" s="1"/>
      <c r="E30" s="1"/>
      <c r="F30" s="1"/>
      <c r="G30" s="1"/>
      <c r="H30" s="1"/>
    </row>
    <row r="31" spans="3:17" ht="15.75" x14ac:dyDescent="0.25">
      <c r="C31" s="1" t="s">
        <v>19</v>
      </c>
      <c r="D31" s="1"/>
      <c r="E31" s="1"/>
      <c r="F31" s="1"/>
      <c r="G31" s="1"/>
      <c r="H31" s="1"/>
    </row>
    <row r="32" spans="3:17" ht="15.75" x14ac:dyDescent="0.25">
      <c r="C32" s="1" t="s">
        <v>20</v>
      </c>
      <c r="D32" s="3">
        <v>13816.77</v>
      </c>
      <c r="E32" s="3">
        <v>13777.14</v>
      </c>
      <c r="F32" s="3">
        <v>13777.14</v>
      </c>
      <c r="G32" s="3">
        <v>11948.69</v>
      </c>
      <c r="H32" s="3">
        <v>11118.55</v>
      </c>
    </row>
    <row r="33" spans="3:8" ht="15.75" x14ac:dyDescent="0.25">
      <c r="C33" s="1" t="s">
        <v>82</v>
      </c>
      <c r="D33" s="1">
        <v>387.76</v>
      </c>
      <c r="E33" s="1">
        <v>401.35</v>
      </c>
      <c r="F33" s="1">
        <v>401.35</v>
      </c>
      <c r="G33" s="1">
        <v>64.05</v>
      </c>
      <c r="H33" s="1">
        <v>90.79</v>
      </c>
    </row>
    <row r="34" spans="3:8" ht="15.75" x14ac:dyDescent="0.25">
      <c r="C34" s="1" t="s">
        <v>21</v>
      </c>
      <c r="D34" s="3">
        <v>2470.08</v>
      </c>
      <c r="E34" s="3">
        <v>2085.4899999999998</v>
      </c>
      <c r="F34" s="3">
        <v>2085.4899999999998</v>
      </c>
      <c r="G34" s="3">
        <v>2272.94</v>
      </c>
      <c r="H34" s="3">
        <v>1472.8</v>
      </c>
    </row>
    <row r="35" spans="3:8" ht="15.75" x14ac:dyDescent="0.25">
      <c r="C35" s="1" t="s">
        <v>84</v>
      </c>
      <c r="D35" s="1">
        <v>30.75</v>
      </c>
      <c r="E35" s="1">
        <v>28.65</v>
      </c>
      <c r="F35" s="1">
        <v>28.65</v>
      </c>
      <c r="G35" s="1">
        <v>22.79</v>
      </c>
      <c r="H35" s="1">
        <v>14.99</v>
      </c>
    </row>
    <row r="36" spans="3:8" ht="15.75" x14ac:dyDescent="0.25">
      <c r="C36" s="1" t="s">
        <v>22</v>
      </c>
      <c r="D36" s="3">
        <v>16705.36</v>
      </c>
      <c r="E36" s="3">
        <v>16292.63</v>
      </c>
      <c r="F36" s="3">
        <v>16292.63</v>
      </c>
      <c r="G36" s="3">
        <v>14308.47</v>
      </c>
      <c r="H36" s="3">
        <v>12697.13</v>
      </c>
    </row>
    <row r="37" spans="3:8" ht="15.75" x14ac:dyDescent="0.25">
      <c r="C37" s="1" t="s">
        <v>74</v>
      </c>
      <c r="D37" s="3">
        <v>6392.9</v>
      </c>
      <c r="E37" s="3">
        <v>2441.64</v>
      </c>
      <c r="F37" s="3">
        <v>2441.64</v>
      </c>
      <c r="G37" s="3">
        <v>2512.17</v>
      </c>
      <c r="H37" s="3">
        <v>2000.86</v>
      </c>
    </row>
    <row r="38" spans="3:8" ht="15.75" x14ac:dyDescent="0.25">
      <c r="C38" s="1" t="s">
        <v>24</v>
      </c>
      <c r="D38" s="3">
        <v>2285.4299999999998</v>
      </c>
      <c r="E38" s="3">
        <v>1506.36</v>
      </c>
      <c r="F38" s="3">
        <v>1506.36</v>
      </c>
      <c r="G38" s="3">
        <v>1480.02</v>
      </c>
      <c r="H38" s="3">
        <v>1727.97</v>
      </c>
    </row>
    <row r="39" spans="3:8" ht="15.75" x14ac:dyDescent="0.25">
      <c r="C39" s="1" t="s">
        <v>26</v>
      </c>
      <c r="D39" s="3">
        <v>25383.69</v>
      </c>
      <c r="E39" s="3">
        <v>20240.63</v>
      </c>
      <c r="F39" s="3">
        <v>20240.63</v>
      </c>
      <c r="G39" s="3">
        <v>18300.66</v>
      </c>
      <c r="H39" s="3">
        <v>16425.96</v>
      </c>
    </row>
    <row r="40" spans="3:8" ht="15.75" x14ac:dyDescent="0.25">
      <c r="C40" s="1" t="s">
        <v>27</v>
      </c>
      <c r="D40" s="1"/>
      <c r="E40" s="1"/>
      <c r="F40" s="1"/>
      <c r="G40" s="1"/>
      <c r="H40" s="1"/>
    </row>
    <row r="41" spans="3:8" ht="15.75" x14ac:dyDescent="0.25">
      <c r="C41" s="1" t="s">
        <v>75</v>
      </c>
      <c r="D41" s="3">
        <v>6461.34</v>
      </c>
      <c r="E41" s="3">
        <v>5963.82</v>
      </c>
      <c r="F41" s="3">
        <v>5963.82</v>
      </c>
      <c r="G41" s="3">
        <v>6311.26</v>
      </c>
      <c r="H41" s="3">
        <v>5059.43</v>
      </c>
    </row>
    <row r="42" spans="3:8" ht="15.75" x14ac:dyDescent="0.25">
      <c r="C42" s="1" t="s">
        <v>28</v>
      </c>
      <c r="D42" s="3">
        <v>8519.82</v>
      </c>
      <c r="E42" s="3">
        <v>7836.76</v>
      </c>
      <c r="F42" s="3">
        <v>7836.76</v>
      </c>
      <c r="G42" s="3">
        <v>7359.54</v>
      </c>
      <c r="H42" s="3">
        <v>6600.2</v>
      </c>
    </row>
    <row r="43" spans="3:8" ht="15.75" x14ac:dyDescent="0.25">
      <c r="C43" s="1" t="s">
        <v>29</v>
      </c>
      <c r="D43" s="3">
        <v>1686.35</v>
      </c>
      <c r="E43" s="3">
        <v>1722.4</v>
      </c>
      <c r="F43" s="3">
        <v>1722.4</v>
      </c>
      <c r="G43" s="3">
        <v>2165.36</v>
      </c>
      <c r="H43" s="3">
        <v>1163.3399999999999</v>
      </c>
    </row>
    <row r="44" spans="3:8" ht="15.75" x14ac:dyDescent="0.25">
      <c r="C44" s="1" t="s">
        <v>30</v>
      </c>
      <c r="D44" s="3">
        <v>6563.95</v>
      </c>
      <c r="E44" s="3">
        <v>7588.61</v>
      </c>
      <c r="F44" s="3">
        <v>7588.61</v>
      </c>
      <c r="G44" s="3">
        <v>3289.37</v>
      </c>
      <c r="H44" s="3">
        <v>3615</v>
      </c>
    </row>
    <row r="45" spans="3:8" ht="15.75" x14ac:dyDescent="0.25">
      <c r="C45" s="1" t="s">
        <v>31</v>
      </c>
      <c r="D45" s="1">
        <v>501.84</v>
      </c>
      <c r="E45" s="1">
        <v>549.89</v>
      </c>
      <c r="F45" s="1">
        <v>549.89</v>
      </c>
      <c r="G45" s="1">
        <v>783.51</v>
      </c>
      <c r="H45" s="1">
        <v>512.14</v>
      </c>
    </row>
    <row r="46" spans="3:8" ht="15.75" x14ac:dyDescent="0.25">
      <c r="C46" s="1" t="s">
        <v>32</v>
      </c>
      <c r="D46" s="1">
        <v>401.44</v>
      </c>
      <c r="E46" s="1">
        <v>293.55</v>
      </c>
      <c r="F46" s="1">
        <v>293.55</v>
      </c>
      <c r="G46" s="3">
        <v>1019.69</v>
      </c>
      <c r="H46" s="1">
        <v>641.36</v>
      </c>
    </row>
    <row r="47" spans="3:8" ht="15.75" x14ac:dyDescent="0.25">
      <c r="C47" s="1" t="s">
        <v>33</v>
      </c>
      <c r="D47" s="3">
        <v>24134.74</v>
      </c>
      <c r="E47" s="3">
        <v>23955.03</v>
      </c>
      <c r="F47" s="3">
        <v>23955.03</v>
      </c>
      <c r="G47" s="3">
        <v>20928.73</v>
      </c>
      <c r="H47" s="3">
        <v>17591.47</v>
      </c>
    </row>
    <row r="48" spans="3:8" ht="15.75" x14ac:dyDescent="0.25">
      <c r="C48" s="33" t="s">
        <v>34</v>
      </c>
      <c r="D48" s="34">
        <v>49518.43</v>
      </c>
      <c r="E48" s="34">
        <v>44195.66</v>
      </c>
      <c r="F48" s="34">
        <v>44195.66</v>
      </c>
      <c r="G48" s="34">
        <v>39229.39</v>
      </c>
      <c r="H48" s="34">
        <v>34017.43</v>
      </c>
    </row>
    <row r="53" spans="3:8" ht="15.75" x14ac:dyDescent="0.25">
      <c r="C53" s="35"/>
      <c r="D53" s="55" t="s">
        <v>36</v>
      </c>
      <c r="E53" s="55"/>
      <c r="F53" s="55"/>
      <c r="G53" s="55"/>
      <c r="H53" s="55"/>
    </row>
    <row r="54" spans="3:8" x14ac:dyDescent="0.25">
      <c r="C54" s="35"/>
      <c r="D54" s="31">
        <v>42430</v>
      </c>
      <c r="E54" s="31">
        <v>42064</v>
      </c>
      <c r="F54" s="31">
        <v>41699</v>
      </c>
      <c r="G54" s="31">
        <v>41334</v>
      </c>
      <c r="H54" s="31">
        <v>40969</v>
      </c>
    </row>
    <row r="55" spans="3:8" x14ac:dyDescent="0.25">
      <c r="C55" s="35"/>
      <c r="D55" s="31"/>
      <c r="E55" s="31"/>
      <c r="F55" s="31"/>
      <c r="G55" s="31"/>
      <c r="H55" s="31"/>
    </row>
    <row r="56" spans="3:8" x14ac:dyDescent="0.25">
      <c r="C56" s="9" t="s">
        <v>56</v>
      </c>
      <c r="D56" s="9">
        <v>26.72</v>
      </c>
      <c r="E56" s="9">
        <v>26.31</v>
      </c>
      <c r="F56" s="9">
        <v>26.43</v>
      </c>
      <c r="G56" s="9">
        <v>24.8</v>
      </c>
      <c r="H56" s="9">
        <v>24.47</v>
      </c>
    </row>
    <row r="57" spans="3:8" x14ac:dyDescent="0.25">
      <c r="C57" s="9" t="s">
        <v>80</v>
      </c>
      <c r="D57" s="9">
        <v>29.94</v>
      </c>
      <c r="E57" s="9">
        <v>31.31</v>
      </c>
      <c r="F57" s="9">
        <v>33.51</v>
      </c>
      <c r="G57" s="9">
        <v>33.36</v>
      </c>
      <c r="H57" s="9">
        <v>32.880000000000003</v>
      </c>
    </row>
    <row r="58" spans="3:8" x14ac:dyDescent="0.25">
      <c r="C58" s="9" t="s">
        <v>57</v>
      </c>
      <c r="D58" s="9">
        <v>4.32</v>
      </c>
      <c r="E58" s="9">
        <v>4.66</v>
      </c>
      <c r="F58" s="9">
        <v>4.5199999999999996</v>
      </c>
      <c r="G58" s="9">
        <v>4.53</v>
      </c>
      <c r="H58" s="9">
        <v>4.47</v>
      </c>
    </row>
    <row r="59" spans="3:8" x14ac:dyDescent="0.25">
      <c r="C59" s="9" t="s">
        <v>58</v>
      </c>
      <c r="D59" s="9">
        <v>69.48</v>
      </c>
      <c r="E59" s="9">
        <v>52.14</v>
      </c>
      <c r="F59" s="9">
        <v>54.31</v>
      </c>
      <c r="G59" s="9">
        <v>55.92</v>
      </c>
      <c r="H59" s="9">
        <v>57.09</v>
      </c>
    </row>
    <row r="60" spans="3:8" x14ac:dyDescent="0.25">
      <c r="C60" s="9" t="s">
        <v>55</v>
      </c>
      <c r="D60" s="9">
        <v>12.26</v>
      </c>
      <c r="E60" s="9">
        <v>12.05</v>
      </c>
      <c r="F60" s="9">
        <v>11.09</v>
      </c>
      <c r="G60" s="9">
        <v>9.4499999999999993</v>
      </c>
      <c r="H60" s="9">
        <v>7.93</v>
      </c>
    </row>
    <row r="61" spans="3:8" x14ac:dyDescent="0.25">
      <c r="C61" s="15" t="s">
        <v>59</v>
      </c>
      <c r="D61" s="15">
        <v>30.52</v>
      </c>
      <c r="E61" s="15">
        <v>47.86</v>
      </c>
      <c r="F61" s="15">
        <v>45.69</v>
      </c>
      <c r="G61" s="15">
        <v>44.08</v>
      </c>
      <c r="H61" s="15">
        <v>42.91</v>
      </c>
    </row>
    <row r="62" spans="3:8" x14ac:dyDescent="0.25">
      <c r="C62" s="9" t="s">
        <v>95</v>
      </c>
      <c r="D62" s="14" t="s">
        <v>94</v>
      </c>
      <c r="E62" s="14" t="s">
        <v>94</v>
      </c>
      <c r="F62" s="14" t="s">
        <v>93</v>
      </c>
      <c r="G62" s="14" t="s">
        <v>92</v>
      </c>
      <c r="H62" s="14" t="s">
        <v>91</v>
      </c>
    </row>
    <row r="65" spans="3:8" ht="18.75" x14ac:dyDescent="0.25">
      <c r="C65" s="17" t="s">
        <v>85</v>
      </c>
    </row>
    <row r="67" spans="3:8" ht="15.75" x14ac:dyDescent="0.25">
      <c r="C67" s="23"/>
      <c r="D67" s="23" t="s">
        <v>86</v>
      </c>
      <c r="E67" s="23" t="s">
        <v>87</v>
      </c>
      <c r="F67" s="23" t="s">
        <v>88</v>
      </c>
      <c r="G67" s="23" t="s">
        <v>89</v>
      </c>
      <c r="H67" s="23" t="s">
        <v>90</v>
      </c>
    </row>
    <row r="68" spans="3:8" ht="15.75" x14ac:dyDescent="0.25">
      <c r="C68" s="23" t="s">
        <v>70</v>
      </c>
      <c r="D68" s="24">
        <v>16.07</v>
      </c>
      <c r="E68" s="24">
        <v>15.15</v>
      </c>
      <c r="F68" s="24">
        <v>19.82</v>
      </c>
      <c r="G68" s="24">
        <v>20.78</v>
      </c>
      <c r="H68" s="24">
        <v>18.059999999999999</v>
      </c>
    </row>
    <row r="69" spans="3:8" ht="15.75" x14ac:dyDescent="0.25">
      <c r="C69" s="23" t="s">
        <v>63</v>
      </c>
      <c r="D69" s="24">
        <v>212.34</v>
      </c>
      <c r="E69" s="24">
        <v>205.73</v>
      </c>
      <c r="F69" s="24">
        <v>215.63</v>
      </c>
      <c r="G69" s="24">
        <v>204.8</v>
      </c>
      <c r="H69" s="24">
        <v>235.43</v>
      </c>
    </row>
    <row r="70" spans="3:8" ht="15.75" x14ac:dyDescent="0.25">
      <c r="C70" s="23" t="s">
        <v>64</v>
      </c>
      <c r="D70" s="24">
        <v>105.74</v>
      </c>
      <c r="E70" s="24">
        <v>48.47</v>
      </c>
      <c r="F70" s="24">
        <v>53</v>
      </c>
      <c r="G70" s="24">
        <v>50.18</v>
      </c>
      <c r="H70" s="24">
        <v>58.71</v>
      </c>
    </row>
    <row r="71" spans="3:8" ht="15.75" x14ac:dyDescent="0.25">
      <c r="C71" s="23" t="s">
        <v>65</v>
      </c>
      <c r="D71" s="24">
        <v>122.67</v>
      </c>
      <c r="E71" s="24">
        <v>172.4</v>
      </c>
      <c r="F71" s="24">
        <v>182.45</v>
      </c>
      <c r="G71" s="24">
        <v>175.4</v>
      </c>
      <c r="H71" s="24">
        <v>194.78</v>
      </c>
    </row>
    <row r="72" spans="3:8" ht="15.75" x14ac:dyDescent="0.25">
      <c r="C72" s="23" t="s">
        <v>66</v>
      </c>
      <c r="D72" s="24">
        <v>22.71</v>
      </c>
      <c r="E72" s="24">
        <v>24.1</v>
      </c>
      <c r="F72" s="24">
        <v>18.420000000000002</v>
      </c>
      <c r="G72" s="24">
        <v>17.57</v>
      </c>
      <c r="H72" s="24">
        <v>20.21</v>
      </c>
    </row>
    <row r="73" spans="3:8" ht="15.75" x14ac:dyDescent="0.25">
      <c r="C73" s="23" t="s">
        <v>67</v>
      </c>
      <c r="D73" s="24">
        <v>1.72</v>
      </c>
      <c r="E73" s="24">
        <v>1.77</v>
      </c>
      <c r="F73" s="24">
        <v>1.69</v>
      </c>
      <c r="G73" s="24">
        <v>1.78</v>
      </c>
      <c r="H73" s="24">
        <v>1.55</v>
      </c>
    </row>
    <row r="74" spans="3:8" ht="15.75" x14ac:dyDescent="0.25">
      <c r="C74" s="23" t="s">
        <v>68</v>
      </c>
      <c r="D74" s="24">
        <v>2.37</v>
      </c>
      <c r="E74" s="24">
        <v>2.64</v>
      </c>
      <c r="F74" s="24">
        <v>2.59</v>
      </c>
      <c r="G74" s="24">
        <v>2.37</v>
      </c>
      <c r="H74" s="24">
        <v>2.25</v>
      </c>
    </row>
    <row r="75" spans="3:8" ht="15.75" x14ac:dyDescent="0.25">
      <c r="C75" s="23" t="s">
        <v>69</v>
      </c>
      <c r="D75" s="24">
        <v>0.93</v>
      </c>
      <c r="E75" s="24">
        <v>0.96</v>
      </c>
      <c r="F75" s="24">
        <v>0.93</v>
      </c>
      <c r="G75" s="24">
        <v>0.89</v>
      </c>
      <c r="H75" s="24">
        <v>0.81</v>
      </c>
    </row>
  </sheetData>
  <mergeCells count="3">
    <mergeCell ref="D4:H4"/>
    <mergeCell ref="M4:Q4"/>
    <mergeCell ref="D53:H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PNG </vt:lpstr>
      <vt:lpstr>Compiled Data</vt:lpstr>
      <vt:lpstr>Final Graph</vt:lpstr>
      <vt:lpstr>Nestle</vt:lpstr>
      <vt:lpstr>HUL</vt:lpstr>
      <vt:lpstr>ITC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2017-04-20T18:11:22Z</dcterms:modified>
</cp:coreProperties>
</file>