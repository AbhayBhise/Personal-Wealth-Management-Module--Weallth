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 activeTab="1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E9" i="2" l="1"/>
  <c r="E4" i="2"/>
  <c r="B3" i="2"/>
  <c r="E11" i="2" s="1"/>
  <c r="F11" i="2" s="1"/>
  <c r="E6" i="2" l="1"/>
  <c r="E10" i="2"/>
  <c r="E2" i="2"/>
  <c r="E7" i="2"/>
  <c r="E5" i="2"/>
  <c r="F5" i="2" s="1"/>
  <c r="E3" i="2"/>
  <c r="E8" i="2"/>
  <c r="F8" i="2" l="1"/>
  <c r="F3" i="2"/>
  <c r="F7" i="2"/>
  <c r="F2" i="2"/>
  <c r="F10" i="2"/>
  <c r="F6" i="2"/>
  <c r="F9" i="2"/>
  <c r="F4" i="2"/>
  <c r="F13" i="2" l="1"/>
</calcChain>
</file>

<file path=xl/sharedStrings.xml><?xml version="1.0" encoding="utf-8"?>
<sst xmlns="http://schemas.openxmlformats.org/spreadsheetml/2006/main" count="45" uniqueCount="27">
  <si>
    <t>Investment Products best suited for Poor and Urban Poor</t>
  </si>
  <si>
    <t>Sl No.</t>
  </si>
  <si>
    <t>Products</t>
  </si>
  <si>
    <t>Yes bank Savings Account / Kotak Mahindra Savings Account</t>
  </si>
  <si>
    <t>Returns</t>
  </si>
  <si>
    <t>Returns (%)</t>
  </si>
  <si>
    <t>Risk Factor</t>
  </si>
  <si>
    <t>Post Office monthly income scheme</t>
  </si>
  <si>
    <t>Public Provident Fund</t>
  </si>
  <si>
    <t>Senior Citizen Savings Scheme</t>
  </si>
  <si>
    <t>Bank Fixed Deposits</t>
  </si>
  <si>
    <t>Recurring Deposit</t>
  </si>
  <si>
    <t>SIP (Debt Mutual funds)</t>
  </si>
  <si>
    <t>Select company deposits</t>
  </si>
  <si>
    <t>National Savings Certificate</t>
  </si>
  <si>
    <t>Sukanya Samridhi Yojana</t>
  </si>
  <si>
    <t>12-15%</t>
  </si>
  <si>
    <t>7-9%</t>
  </si>
  <si>
    <t>Low</t>
  </si>
  <si>
    <t>Medium</t>
  </si>
  <si>
    <t>Income</t>
  </si>
  <si>
    <t>Savings</t>
  </si>
  <si>
    <t>Amount Invested</t>
  </si>
  <si>
    <t>Investment Avenues</t>
  </si>
  <si>
    <t>Weightages</t>
  </si>
  <si>
    <t>Average Annual Return</t>
  </si>
  <si>
    <t xml:space="preserve">Cash flow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</si>
</sst>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G9" sqref="G9"/>
    </sheetView>
  </sheetViews>
  <sheetFormatPr defaultRowHeight="15" x14ac:dyDescent="0.25"/>
  <cols>
    <col min="2" max="2" width="55" bestFit="1" customWidth="1"/>
    <col min="3" max="3" width="12.140625" customWidth="1"/>
    <col min="4" max="4" width="11.7109375" customWidth="1"/>
    <col min="5" max="5" width="11.42578125" bestFit="1" customWidth="1"/>
  </cols>
  <sheetData>
    <row r="1" spans="1:15" ht="18.75" x14ac:dyDescent="0.3">
      <c r="A1" s="2" t="s">
        <v>0</v>
      </c>
      <c r="B1" s="2"/>
      <c r="C1" s="2"/>
      <c r="D1" s="2"/>
      <c r="E1" s="2"/>
      <c r="F1" s="2"/>
    </row>
    <row r="3" spans="1:15" x14ac:dyDescent="0.25">
      <c r="A3" s="4" t="s">
        <v>1</v>
      </c>
      <c r="B3" s="4" t="s">
        <v>2</v>
      </c>
      <c r="C3" s="4" t="s">
        <v>5</v>
      </c>
      <c r="D3" s="4" t="s">
        <v>6</v>
      </c>
      <c r="E3" s="4" t="s">
        <v>24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3">
        <v>1</v>
      </c>
      <c r="B4" s="3" t="s">
        <v>3</v>
      </c>
      <c r="C4" s="5">
        <v>0.06</v>
      </c>
      <c r="D4" s="3" t="s">
        <v>18</v>
      </c>
      <c r="E4" s="5">
        <v>0.1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3">
        <v>2</v>
      </c>
      <c r="B5" s="3" t="s">
        <v>7</v>
      </c>
      <c r="C5" s="6">
        <v>7.5999999999999998E-2</v>
      </c>
      <c r="D5" s="3" t="s">
        <v>18</v>
      </c>
      <c r="E5" s="5">
        <v>0.12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3">
        <v>3</v>
      </c>
      <c r="B6" s="3" t="s">
        <v>8</v>
      </c>
      <c r="C6" s="6">
        <v>7.9000000000000001E-2</v>
      </c>
      <c r="D6" s="3" t="s">
        <v>18</v>
      </c>
      <c r="E6" s="5">
        <v>0.14000000000000001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3">
        <v>4</v>
      </c>
      <c r="B7" s="7" t="s">
        <v>9</v>
      </c>
      <c r="C7" s="6">
        <v>8.4000000000000005E-2</v>
      </c>
      <c r="D7" s="3" t="s">
        <v>18</v>
      </c>
      <c r="E7" s="5">
        <v>0.08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3">
        <v>5</v>
      </c>
      <c r="B8" s="3" t="s">
        <v>10</v>
      </c>
      <c r="C8" s="3" t="s">
        <v>17</v>
      </c>
      <c r="D8" s="3" t="s">
        <v>18</v>
      </c>
      <c r="E8" s="5">
        <v>0.1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3">
        <v>6</v>
      </c>
      <c r="B9" s="3" t="s">
        <v>11</v>
      </c>
      <c r="C9" s="5">
        <v>0.08</v>
      </c>
      <c r="D9" s="3" t="s">
        <v>18</v>
      </c>
      <c r="E9" s="5">
        <v>0.08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3">
        <v>7</v>
      </c>
      <c r="B10" s="3" t="s">
        <v>12</v>
      </c>
      <c r="C10" s="3" t="s">
        <v>16</v>
      </c>
      <c r="D10" s="3" t="s">
        <v>19</v>
      </c>
      <c r="E10" s="5">
        <v>0.15</v>
      </c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3">
        <v>8</v>
      </c>
      <c r="B11" s="3" t="s">
        <v>13</v>
      </c>
      <c r="C11" s="5">
        <v>0.1</v>
      </c>
      <c r="D11" s="3" t="s">
        <v>19</v>
      </c>
      <c r="E11" s="5">
        <v>0.06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>
        <v>9</v>
      </c>
      <c r="B12" s="3" t="s">
        <v>14</v>
      </c>
      <c r="C12" s="5">
        <v>0.08</v>
      </c>
      <c r="D12" s="3" t="s">
        <v>18</v>
      </c>
      <c r="E12" s="5">
        <v>0.1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3">
        <v>10</v>
      </c>
      <c r="B13" s="7" t="s">
        <v>15</v>
      </c>
      <c r="C13" s="6">
        <v>8.5999999999999993E-2</v>
      </c>
      <c r="D13" s="3" t="s">
        <v>18</v>
      </c>
      <c r="E13" s="5">
        <v>7.0000000000000007E-2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J3" sqref="J3"/>
    </sheetView>
  </sheetViews>
  <sheetFormatPr defaultRowHeight="15" x14ac:dyDescent="0.25"/>
  <cols>
    <col min="4" max="4" width="55" bestFit="1" customWidth="1"/>
    <col min="5" max="5" width="16.42578125" bestFit="1" customWidth="1"/>
  </cols>
  <sheetData>
    <row r="1" spans="1:10" x14ac:dyDescent="0.25">
      <c r="D1" s="4" t="s">
        <v>23</v>
      </c>
      <c r="E1" s="1" t="s">
        <v>22</v>
      </c>
      <c r="F1" s="1" t="s">
        <v>4</v>
      </c>
    </row>
    <row r="2" spans="1:10" x14ac:dyDescent="0.25">
      <c r="A2" s="1" t="s">
        <v>20</v>
      </c>
      <c r="B2" s="1" t="s">
        <v>21</v>
      </c>
      <c r="D2" s="3" t="s">
        <v>3</v>
      </c>
      <c r="E2">
        <f>0.1*B3</f>
        <v>300</v>
      </c>
      <c r="F2">
        <f>0.06*E2</f>
        <v>18</v>
      </c>
      <c r="J2" t="s">
        <v>26</v>
      </c>
    </row>
    <row r="3" spans="1:10" x14ac:dyDescent="0.25">
      <c r="A3">
        <v>10000</v>
      </c>
      <c r="B3">
        <f>IF(A3&lt;=5000,0.2*A3,0.3*A3)</f>
        <v>3000</v>
      </c>
      <c r="D3" s="3" t="s">
        <v>7</v>
      </c>
      <c r="E3">
        <f>0.12*B3</f>
        <v>360</v>
      </c>
      <c r="F3">
        <f>0.076*E2</f>
        <v>22.8</v>
      </c>
    </row>
    <row r="4" spans="1:10" x14ac:dyDescent="0.25">
      <c r="D4" s="3" t="s">
        <v>8</v>
      </c>
      <c r="E4">
        <f>0.14*B3</f>
        <v>420.00000000000006</v>
      </c>
      <c r="F4">
        <f>0.079*E2</f>
        <v>23.7</v>
      </c>
    </row>
    <row r="5" spans="1:10" x14ac:dyDescent="0.25">
      <c r="D5" s="7" t="s">
        <v>9</v>
      </c>
      <c r="E5">
        <f>0.08*B3</f>
        <v>240</v>
      </c>
      <c r="F5">
        <f>0.084*E5</f>
        <v>20.16</v>
      </c>
    </row>
    <row r="6" spans="1:10" x14ac:dyDescent="0.25">
      <c r="D6" s="3" t="s">
        <v>10</v>
      </c>
      <c r="E6">
        <f>0.1*B3</f>
        <v>300</v>
      </c>
      <c r="F6">
        <f>0.08*E2</f>
        <v>24</v>
      </c>
    </row>
    <row r="7" spans="1:10" x14ac:dyDescent="0.25">
      <c r="D7" s="3" t="s">
        <v>11</v>
      </c>
      <c r="E7">
        <f>0.08*B3</f>
        <v>240</v>
      </c>
      <c r="F7">
        <f>0.08*E2</f>
        <v>24</v>
      </c>
    </row>
    <row r="8" spans="1:10" x14ac:dyDescent="0.25">
      <c r="D8" s="3" t="s">
        <v>12</v>
      </c>
      <c r="E8">
        <f>0.15*B3</f>
        <v>450</v>
      </c>
      <c r="F8">
        <f>0.14*E2</f>
        <v>42.000000000000007</v>
      </c>
    </row>
    <row r="9" spans="1:10" x14ac:dyDescent="0.25">
      <c r="D9" s="3" t="s">
        <v>13</v>
      </c>
      <c r="E9">
        <f>0.06*B3</f>
        <v>180</v>
      </c>
      <c r="F9">
        <f>0.1*E2</f>
        <v>30</v>
      </c>
    </row>
    <row r="10" spans="1:10" x14ac:dyDescent="0.25">
      <c r="D10" s="3" t="s">
        <v>14</v>
      </c>
      <c r="E10">
        <f>0.1*B3</f>
        <v>300</v>
      </c>
      <c r="F10">
        <f>0.08*E2</f>
        <v>24</v>
      </c>
    </row>
    <row r="11" spans="1:10" x14ac:dyDescent="0.25">
      <c r="D11" s="7" t="s">
        <v>15</v>
      </c>
      <c r="E11">
        <f>0.07*B3</f>
        <v>210.00000000000003</v>
      </c>
      <c r="F11">
        <f>0.086*E11</f>
        <v>18.060000000000002</v>
      </c>
    </row>
    <row r="13" spans="1:10" x14ac:dyDescent="0.25">
      <c r="D13" s="8" t="s">
        <v>25</v>
      </c>
      <c r="F13">
        <f>SUM(F2:F11)</f>
        <v>246.72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2017-06-02T05:24:55Z</dcterms:modified>
</cp:coreProperties>
</file>